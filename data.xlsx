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2EA4E4E6-293E-43CF-AF7F-F35B0AA31CB7}" xr6:coauthVersionLast="47" xr6:coauthVersionMax="47" xr10:uidLastSave="{00000000-0000-0000-0000-000000000000}"/>
  <bookViews>
    <workbookView xWindow="-120" yWindow="-120" windowWidth="29040" windowHeight="15720" xr2:uid="{4FAFFCDF-2E1F-4C4A-894C-65F8AD8080D6}"/>
  </bookViews>
  <sheets>
    <sheet name="Algemeen en Poulef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" l="1"/>
  <c r="P11" i="1"/>
  <c r="Q11" i="1"/>
  <c r="R11" i="1"/>
  <c r="S11" i="1"/>
  <c r="T11" i="1"/>
  <c r="S70" i="1"/>
  <c r="S46" i="1"/>
  <c r="S23" i="1"/>
  <c r="S15" i="1"/>
  <c r="S16" i="1"/>
  <c r="S17" i="1"/>
  <c r="S18" i="1"/>
  <c r="S19" i="1"/>
  <c r="S20" i="1"/>
  <c r="S21" i="1"/>
  <c r="S22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14" i="1"/>
  <c r="S7" i="1"/>
  <c r="S8" i="1"/>
  <c r="S9" i="1"/>
  <c r="S10" i="1"/>
  <c r="T7" i="1"/>
  <c r="P23" i="1"/>
  <c r="Q23" i="1"/>
  <c r="R23" i="1"/>
  <c r="T23" i="1"/>
  <c r="O23" i="1"/>
  <c r="P70" i="1"/>
  <c r="Q70" i="1"/>
  <c r="R70" i="1"/>
  <c r="T70" i="1"/>
  <c r="O70" i="1"/>
  <c r="P46" i="1"/>
  <c r="Q46" i="1"/>
  <c r="R46" i="1"/>
  <c r="T46" i="1"/>
  <c r="O46" i="1"/>
  <c r="O15" i="1"/>
  <c r="P15" i="1"/>
  <c r="Q15" i="1"/>
  <c r="R15" i="1"/>
  <c r="T15" i="1"/>
  <c r="O16" i="1"/>
  <c r="P16" i="1"/>
  <c r="Q16" i="1"/>
  <c r="R16" i="1"/>
  <c r="T16" i="1"/>
  <c r="O17" i="1"/>
  <c r="P17" i="1"/>
  <c r="Q17" i="1"/>
  <c r="R17" i="1"/>
  <c r="T17" i="1"/>
  <c r="O18" i="1"/>
  <c r="P18" i="1"/>
  <c r="Q18" i="1"/>
  <c r="R18" i="1"/>
  <c r="T18" i="1"/>
  <c r="O19" i="1"/>
  <c r="P19" i="1"/>
  <c r="Q19" i="1"/>
  <c r="R19" i="1"/>
  <c r="T19" i="1"/>
  <c r="O20" i="1"/>
  <c r="P20" i="1"/>
  <c r="Q20" i="1"/>
  <c r="R20" i="1"/>
  <c r="T20" i="1"/>
  <c r="O21" i="1"/>
  <c r="P21" i="1"/>
  <c r="Q21" i="1"/>
  <c r="R21" i="1"/>
  <c r="T21" i="1"/>
  <c r="O22" i="1"/>
  <c r="P22" i="1"/>
  <c r="Q22" i="1"/>
  <c r="R22" i="1"/>
  <c r="T22" i="1"/>
  <c r="O24" i="1"/>
  <c r="P24" i="1"/>
  <c r="Q24" i="1"/>
  <c r="R24" i="1"/>
  <c r="T24" i="1"/>
  <c r="O25" i="1"/>
  <c r="P25" i="1"/>
  <c r="Q25" i="1"/>
  <c r="R25" i="1"/>
  <c r="T25" i="1"/>
  <c r="O26" i="1"/>
  <c r="P26" i="1"/>
  <c r="Q26" i="1"/>
  <c r="R26" i="1"/>
  <c r="T26" i="1"/>
  <c r="O27" i="1"/>
  <c r="P27" i="1"/>
  <c r="Q27" i="1"/>
  <c r="R27" i="1"/>
  <c r="T27" i="1"/>
  <c r="O28" i="1"/>
  <c r="P28" i="1"/>
  <c r="Q28" i="1"/>
  <c r="R28" i="1"/>
  <c r="T28" i="1"/>
  <c r="O29" i="1"/>
  <c r="P29" i="1"/>
  <c r="Q29" i="1"/>
  <c r="R29" i="1"/>
  <c r="T29" i="1"/>
  <c r="O30" i="1"/>
  <c r="P30" i="1"/>
  <c r="Q30" i="1"/>
  <c r="R30" i="1"/>
  <c r="T30" i="1"/>
  <c r="O31" i="1"/>
  <c r="P31" i="1"/>
  <c r="Q31" i="1"/>
  <c r="R31" i="1"/>
  <c r="T31" i="1"/>
  <c r="O32" i="1"/>
  <c r="P32" i="1"/>
  <c r="Q32" i="1"/>
  <c r="R32" i="1"/>
  <c r="T32" i="1"/>
  <c r="O33" i="1"/>
  <c r="P33" i="1"/>
  <c r="Q33" i="1"/>
  <c r="R33" i="1"/>
  <c r="T33" i="1"/>
  <c r="O34" i="1"/>
  <c r="P34" i="1"/>
  <c r="Q34" i="1"/>
  <c r="R34" i="1"/>
  <c r="T34" i="1"/>
  <c r="O35" i="1"/>
  <c r="P35" i="1"/>
  <c r="Q35" i="1"/>
  <c r="R35" i="1"/>
  <c r="T35" i="1"/>
  <c r="O36" i="1"/>
  <c r="P36" i="1"/>
  <c r="Q36" i="1"/>
  <c r="R36" i="1"/>
  <c r="T36" i="1"/>
  <c r="O37" i="1"/>
  <c r="P37" i="1"/>
  <c r="Q37" i="1"/>
  <c r="R37" i="1"/>
  <c r="T37" i="1"/>
  <c r="O38" i="1"/>
  <c r="P38" i="1"/>
  <c r="Q38" i="1"/>
  <c r="R38" i="1"/>
  <c r="T38" i="1"/>
  <c r="O39" i="1"/>
  <c r="P39" i="1"/>
  <c r="Q39" i="1"/>
  <c r="R39" i="1"/>
  <c r="T39" i="1"/>
  <c r="O40" i="1"/>
  <c r="P40" i="1"/>
  <c r="Q40" i="1"/>
  <c r="R40" i="1"/>
  <c r="T40" i="1"/>
  <c r="O41" i="1"/>
  <c r="P41" i="1"/>
  <c r="Q41" i="1"/>
  <c r="R41" i="1"/>
  <c r="T41" i="1"/>
  <c r="O42" i="1"/>
  <c r="P42" i="1"/>
  <c r="Q42" i="1"/>
  <c r="R42" i="1"/>
  <c r="T42" i="1"/>
  <c r="O43" i="1"/>
  <c r="P43" i="1"/>
  <c r="Q43" i="1"/>
  <c r="R43" i="1"/>
  <c r="T43" i="1"/>
  <c r="O44" i="1"/>
  <c r="P44" i="1"/>
  <c r="Q44" i="1"/>
  <c r="R44" i="1"/>
  <c r="T44" i="1"/>
  <c r="O45" i="1"/>
  <c r="P45" i="1"/>
  <c r="Q45" i="1"/>
  <c r="R45" i="1"/>
  <c r="T45" i="1"/>
  <c r="O47" i="1"/>
  <c r="P47" i="1"/>
  <c r="Q47" i="1"/>
  <c r="R47" i="1"/>
  <c r="T47" i="1"/>
  <c r="O48" i="1"/>
  <c r="P48" i="1"/>
  <c r="Q48" i="1"/>
  <c r="R48" i="1"/>
  <c r="T48" i="1"/>
  <c r="O49" i="1"/>
  <c r="P49" i="1"/>
  <c r="Q49" i="1"/>
  <c r="R49" i="1"/>
  <c r="T49" i="1"/>
  <c r="O50" i="1"/>
  <c r="P50" i="1"/>
  <c r="Q50" i="1"/>
  <c r="R50" i="1"/>
  <c r="T50" i="1"/>
  <c r="O51" i="1"/>
  <c r="P51" i="1"/>
  <c r="Q51" i="1"/>
  <c r="R51" i="1"/>
  <c r="T51" i="1"/>
  <c r="O52" i="1"/>
  <c r="P52" i="1"/>
  <c r="Q52" i="1"/>
  <c r="R52" i="1"/>
  <c r="T52" i="1"/>
  <c r="O53" i="1"/>
  <c r="P53" i="1"/>
  <c r="Q53" i="1"/>
  <c r="R53" i="1"/>
  <c r="T53" i="1"/>
  <c r="O54" i="1"/>
  <c r="P54" i="1"/>
  <c r="Q54" i="1"/>
  <c r="R54" i="1"/>
  <c r="T54" i="1"/>
  <c r="O55" i="1"/>
  <c r="P55" i="1"/>
  <c r="Q55" i="1"/>
  <c r="R55" i="1"/>
  <c r="T55" i="1"/>
  <c r="O56" i="1"/>
  <c r="P56" i="1"/>
  <c r="Q56" i="1"/>
  <c r="R56" i="1"/>
  <c r="T56" i="1"/>
  <c r="O57" i="1"/>
  <c r="P57" i="1"/>
  <c r="Q57" i="1"/>
  <c r="R57" i="1"/>
  <c r="T57" i="1"/>
  <c r="O58" i="1"/>
  <c r="P58" i="1"/>
  <c r="Q58" i="1"/>
  <c r="R58" i="1"/>
  <c r="T58" i="1"/>
  <c r="O59" i="1"/>
  <c r="P59" i="1"/>
  <c r="Q59" i="1"/>
  <c r="R59" i="1"/>
  <c r="T59" i="1"/>
  <c r="O60" i="1"/>
  <c r="P60" i="1"/>
  <c r="Q60" i="1"/>
  <c r="R60" i="1"/>
  <c r="T60" i="1"/>
  <c r="O61" i="1"/>
  <c r="P61" i="1"/>
  <c r="Q61" i="1"/>
  <c r="R61" i="1"/>
  <c r="T61" i="1"/>
  <c r="O62" i="1"/>
  <c r="P62" i="1"/>
  <c r="Q62" i="1"/>
  <c r="R62" i="1"/>
  <c r="T62" i="1"/>
  <c r="O63" i="1"/>
  <c r="P63" i="1"/>
  <c r="Q63" i="1"/>
  <c r="R63" i="1"/>
  <c r="T63" i="1"/>
  <c r="O64" i="1"/>
  <c r="P64" i="1"/>
  <c r="Q64" i="1"/>
  <c r="R64" i="1"/>
  <c r="T64" i="1"/>
  <c r="O65" i="1"/>
  <c r="P65" i="1"/>
  <c r="Q65" i="1"/>
  <c r="R65" i="1"/>
  <c r="T65" i="1"/>
  <c r="O66" i="1"/>
  <c r="P66" i="1"/>
  <c r="Q66" i="1"/>
  <c r="R66" i="1"/>
  <c r="T66" i="1"/>
  <c r="O67" i="1"/>
  <c r="P67" i="1"/>
  <c r="Q67" i="1"/>
  <c r="R67" i="1"/>
  <c r="T67" i="1"/>
  <c r="O68" i="1"/>
  <c r="P68" i="1"/>
  <c r="Q68" i="1"/>
  <c r="R68" i="1"/>
  <c r="T68" i="1"/>
  <c r="O69" i="1"/>
  <c r="P69" i="1"/>
  <c r="Q69" i="1"/>
  <c r="R69" i="1"/>
  <c r="T69" i="1"/>
  <c r="O71" i="1"/>
  <c r="P71" i="1"/>
  <c r="Q71" i="1"/>
  <c r="R71" i="1"/>
  <c r="T71" i="1"/>
  <c r="O72" i="1"/>
  <c r="P72" i="1"/>
  <c r="Q72" i="1"/>
  <c r="R72" i="1"/>
  <c r="T72" i="1"/>
  <c r="O73" i="1"/>
  <c r="P73" i="1"/>
  <c r="Q73" i="1"/>
  <c r="R73" i="1"/>
  <c r="T73" i="1"/>
  <c r="O74" i="1"/>
  <c r="P74" i="1"/>
  <c r="Q74" i="1"/>
  <c r="R74" i="1"/>
  <c r="T74" i="1"/>
  <c r="O75" i="1"/>
  <c r="P75" i="1"/>
  <c r="Q75" i="1"/>
  <c r="R75" i="1"/>
  <c r="T75" i="1"/>
  <c r="O76" i="1"/>
  <c r="P76" i="1"/>
  <c r="Q76" i="1"/>
  <c r="R76" i="1"/>
  <c r="T76" i="1"/>
  <c r="O77" i="1"/>
  <c r="P77" i="1"/>
  <c r="Q77" i="1"/>
  <c r="R77" i="1"/>
  <c r="T77" i="1"/>
  <c r="O78" i="1"/>
  <c r="P78" i="1"/>
  <c r="Q78" i="1"/>
  <c r="R78" i="1"/>
  <c r="T78" i="1"/>
  <c r="O79" i="1"/>
  <c r="P79" i="1"/>
  <c r="Q79" i="1"/>
  <c r="R79" i="1"/>
  <c r="T79" i="1"/>
  <c r="O80" i="1"/>
  <c r="P80" i="1"/>
  <c r="Q80" i="1"/>
  <c r="R80" i="1"/>
  <c r="T80" i="1"/>
  <c r="O81" i="1"/>
  <c r="P81" i="1"/>
  <c r="Q81" i="1"/>
  <c r="R81" i="1"/>
  <c r="T81" i="1"/>
  <c r="O82" i="1"/>
  <c r="P82" i="1"/>
  <c r="Q82" i="1"/>
  <c r="R82" i="1"/>
  <c r="T82" i="1"/>
  <c r="O83" i="1"/>
  <c r="P83" i="1"/>
  <c r="Q83" i="1"/>
  <c r="R83" i="1"/>
  <c r="T83" i="1"/>
  <c r="O84" i="1"/>
  <c r="P84" i="1"/>
  <c r="Q84" i="1"/>
  <c r="R84" i="1"/>
  <c r="T84" i="1"/>
  <c r="O85" i="1"/>
  <c r="P85" i="1"/>
  <c r="Q85" i="1"/>
  <c r="R85" i="1"/>
  <c r="T85" i="1"/>
  <c r="O14" i="1"/>
  <c r="R7" i="1"/>
  <c r="R8" i="1"/>
  <c r="R9" i="1"/>
  <c r="R10" i="1"/>
  <c r="R14" i="1"/>
  <c r="O10" i="1"/>
  <c r="P10" i="1"/>
  <c r="Q10" i="1"/>
  <c r="T10" i="1"/>
  <c r="O9" i="1"/>
  <c r="P9" i="1"/>
  <c r="Q9" i="1"/>
  <c r="T9" i="1"/>
  <c r="O8" i="1"/>
  <c r="P8" i="1"/>
  <c r="Q8" i="1"/>
  <c r="T8" i="1"/>
  <c r="P7" i="1"/>
  <c r="Q7" i="1"/>
  <c r="O7" i="1"/>
  <c r="P14" i="1"/>
  <c r="Q14" i="1"/>
  <c r="T14" i="1"/>
  <c r="S4" i="1" l="1"/>
  <c r="R4" i="1"/>
  <c r="T4" i="1"/>
  <c r="P4" i="1"/>
  <c r="Q4" i="1"/>
  <c r="O4" i="1"/>
</calcChain>
</file>

<file path=xl/sharedStrings.xml><?xml version="1.0" encoding="utf-8"?>
<sst xmlns="http://schemas.openxmlformats.org/spreadsheetml/2006/main" count="250" uniqueCount="106">
  <si>
    <t>Turkije</t>
  </si>
  <si>
    <t>Zwitserland</t>
  </si>
  <si>
    <t>België</t>
  </si>
  <si>
    <t>Engeland</t>
  </si>
  <si>
    <t>Kroatië</t>
  </si>
  <si>
    <t>Oostenrijk</t>
  </si>
  <si>
    <t>Nederland</t>
  </si>
  <si>
    <t>Schotland</t>
  </si>
  <si>
    <t>Tsjechië</t>
  </si>
  <si>
    <t>Spanje</t>
  </si>
  <si>
    <t>Zweden</t>
  </si>
  <si>
    <t>Portugal</t>
  </si>
  <si>
    <t>Frankrijk</t>
  </si>
  <si>
    <t>Duitsland</t>
  </si>
  <si>
    <t>Uitslag</t>
  </si>
  <si>
    <t>Jacq</t>
  </si>
  <si>
    <t>Joost</t>
  </si>
  <si>
    <t>Sander</t>
  </si>
  <si>
    <t>Madelon</t>
  </si>
  <si>
    <t>Voorspelling</t>
  </si>
  <si>
    <t>Punten</t>
  </si>
  <si>
    <t>Anders</t>
  </si>
  <si>
    <t>Uitgeschakeld in poulefase</t>
  </si>
  <si>
    <t>Uitgeschakeld in achtste finale</t>
  </si>
  <si>
    <t>Uitgeschakeld in kwartfinale</t>
  </si>
  <si>
    <t>Uitgeschakeld in halve finale</t>
  </si>
  <si>
    <t>Verlies in finale</t>
  </si>
  <si>
    <t>Depay</t>
  </si>
  <si>
    <t>Weghorst</t>
  </si>
  <si>
    <t>Malen</t>
  </si>
  <si>
    <t>Dumfries</t>
  </si>
  <si>
    <t>Punten:</t>
  </si>
  <si>
    <t>Hoe ver komt Nederland ?</t>
  </si>
  <si>
    <t>Topscorer Nederland ?</t>
  </si>
  <si>
    <t>Eerste gele kaart Nederland ?</t>
  </si>
  <si>
    <t>Winnaar</t>
  </si>
  <si>
    <t>2de</t>
  </si>
  <si>
    <t>3de</t>
  </si>
  <si>
    <t>Tessa</t>
  </si>
  <si>
    <t>Datum</t>
  </si>
  <si>
    <t>Sander 2</t>
  </si>
  <si>
    <t>Mexico</t>
  </si>
  <si>
    <t>Zuid-Afrika</t>
  </si>
  <si>
    <t>Zuid-Korea</t>
  </si>
  <si>
    <t>Canada</t>
  </si>
  <si>
    <t>Verenigde Staten</t>
  </si>
  <si>
    <t>Paraguay</t>
  </si>
  <si>
    <t>Qatar</t>
  </si>
  <si>
    <t>Brazilië</t>
  </si>
  <si>
    <t>Marokko</t>
  </si>
  <si>
    <t>Haïti</t>
  </si>
  <si>
    <t>Australië</t>
  </si>
  <si>
    <t>Curaçao</t>
  </si>
  <si>
    <t>Japan</t>
  </si>
  <si>
    <t>Ivoorkust</t>
  </si>
  <si>
    <t>Ecuador</t>
  </si>
  <si>
    <t>Tunesië</t>
  </si>
  <si>
    <t>Kaapverdië</t>
  </si>
  <si>
    <t>Egypte</t>
  </si>
  <si>
    <t>Saoedi-Arabië</t>
  </si>
  <si>
    <t>Uruguay</t>
  </si>
  <si>
    <t>Iran</t>
  </si>
  <si>
    <t>Nieuw-Zeeland</t>
  </si>
  <si>
    <t>Senegal</t>
  </si>
  <si>
    <t>Irak</t>
  </si>
  <si>
    <t>Noorwegen</t>
  </si>
  <si>
    <t>Argentinië</t>
  </si>
  <si>
    <t>Algerije</t>
  </si>
  <si>
    <t>Jordanië</t>
  </si>
  <si>
    <t>Congo-Kinshasa</t>
  </si>
  <si>
    <t>Ghana</t>
  </si>
  <si>
    <t>Panama</t>
  </si>
  <si>
    <t>Oezbekistan</t>
  </si>
  <si>
    <t>Colombia</t>
  </si>
  <si>
    <t>Tijd</t>
  </si>
  <si>
    <t>Thuis</t>
  </si>
  <si>
    <t>Uit</t>
  </si>
  <si>
    <t>Bosnië-Herzegovina</t>
  </si>
  <si>
    <t>Wereldkampioen</t>
  </si>
  <si>
    <t>Uitgeschakeld in laatste 32</t>
  </si>
  <si>
    <t>Brobbey</t>
  </si>
  <si>
    <t>Reijnders</t>
  </si>
  <si>
    <t>Gakpo</t>
  </si>
  <si>
    <t>van Dijk</t>
  </si>
  <si>
    <t>Timber (beide)</t>
  </si>
  <si>
    <t>Van der Ven</t>
  </si>
  <si>
    <t>Gravenberch</t>
  </si>
  <si>
    <t>Wie wordt Wereldkampioen ?</t>
  </si>
  <si>
    <t>In welke tijdsperiode scoort Nederland eerst goal? (alle wedstrijden)</t>
  </si>
  <si>
    <t>50:00 tot 55:00</t>
  </si>
  <si>
    <t>Minuut eerste goal</t>
  </si>
  <si>
    <t>00:00 tot 5:00</t>
  </si>
  <si>
    <t>5:00 tot 10:00</t>
  </si>
  <si>
    <t>10:00 tot 15:00</t>
  </si>
  <si>
    <t>20:00 tot 25:00</t>
  </si>
  <si>
    <t>25:00 tot 30:00</t>
  </si>
  <si>
    <t>30:00 tot 35:00</t>
  </si>
  <si>
    <t>35:00 tot 40:00</t>
  </si>
  <si>
    <t>40:00 tot 45:00 (incl blessuretijd)</t>
  </si>
  <si>
    <t>45:00 tot 50:00</t>
  </si>
  <si>
    <t>60:00 tot 65:00</t>
  </si>
  <si>
    <t>65:00 tot 70:00</t>
  </si>
  <si>
    <t>70:00 tot 75:00</t>
  </si>
  <si>
    <t>75:00 tot 80:00</t>
  </si>
  <si>
    <t>80:00 tot 85:00</t>
  </si>
  <si>
    <t>85:00 tot 90:00 (incl blessuretijd)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</si>
</sst>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Protection="0"/>
    <xf numFmtId="0" fontId="3" fillId="0" borderId="0" applyNumberFormat="0" applyFill="0" applyBorder="0" applyProtection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6" xfId="0" applyFont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6" xfId="0" applyFont="1" applyFill="1" applyBorder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/>
    </xf>
  </cellXfs>
  <cellStyles count="3">
    <cellStyle name="Standaard" xfId="0" builtinId="0"/>
    <cellStyle name="Standaard 2" xfId="1" xr:uid="{5A721748-8E03-43D7-80A8-54A8DFB7E68E}"/>
    <cellStyle name="Standaard 3" xfId="2" xr:uid="{F7B4E34C-31BC-40B8-8E6F-E321603F9A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715A-3D17-4680-9384-881537A085EE}">
  <dimension ref="A1:AM85"/>
  <sheetViews>
    <sheetView tabSelected="1" zoomScale="90" zoomScaleNormal="90" workbookViewId="0">
      <selection activeCell="F34" sqref="F34"/>
    </sheetView>
  </sheetViews>
  <sheetFormatPr defaultRowHeight="15" x14ac:dyDescent="0.25"/>
  <cols>
    <col min="2" max="2" width="17.7109375" customWidth="1"/>
    <col min="3" max="3" width="16.140625" bestFit="1" customWidth="1"/>
    <col min="4" max="4" width="22.28515625" customWidth="1"/>
    <col min="5" max="5" width="17.85546875" bestFit="1" customWidth="1"/>
    <col min="6" max="6" width="27.7109375" bestFit="1" customWidth="1"/>
    <col min="8" max="8" width="26.140625" bestFit="1" customWidth="1"/>
    <col min="9" max="9" width="27.7109375" bestFit="1" customWidth="1"/>
    <col min="10" max="10" width="25.7109375" bestFit="1" customWidth="1"/>
    <col min="11" max="11" width="26.140625" bestFit="1" customWidth="1"/>
    <col min="12" max="12" width="30.140625" bestFit="1" customWidth="1"/>
    <col min="13" max="13" width="25.7109375" bestFit="1" customWidth="1"/>
    <col min="35" max="35" width="11" bestFit="1" customWidth="1"/>
    <col min="36" max="36" width="30.140625" bestFit="1" customWidth="1"/>
    <col min="37" max="37" width="10.7109375" bestFit="1" customWidth="1"/>
    <col min="38" max="38" width="13.28515625" bestFit="1" customWidth="1"/>
  </cols>
  <sheetData>
    <row r="1" spans="1:39" x14ac:dyDescent="0.25">
      <c r="B1" t="s">
        <v>35</v>
      </c>
      <c r="C1" s="29">
        <v>50</v>
      </c>
      <c r="H1" s="30" t="s">
        <v>19</v>
      </c>
      <c r="I1" s="30"/>
      <c r="J1" s="30"/>
      <c r="K1" s="30"/>
      <c r="L1" s="30"/>
      <c r="M1" s="30"/>
      <c r="N1" s="6"/>
      <c r="O1" s="30" t="s">
        <v>20</v>
      </c>
      <c r="P1" s="30"/>
      <c r="Q1" s="30"/>
      <c r="R1" s="30"/>
      <c r="S1" s="30"/>
      <c r="T1" s="30"/>
      <c r="AM1" t="s">
        <v>90</v>
      </c>
    </row>
    <row r="2" spans="1:39" x14ac:dyDescent="0.25">
      <c r="B2" t="s">
        <v>36</v>
      </c>
      <c r="C2" s="29">
        <v>25</v>
      </c>
      <c r="F2" s="1" t="s">
        <v>14</v>
      </c>
      <c r="H2" s="7" t="s">
        <v>15</v>
      </c>
      <c r="I2" s="7" t="s">
        <v>16</v>
      </c>
      <c r="J2" s="7" t="s">
        <v>17</v>
      </c>
      <c r="K2" s="7" t="s">
        <v>38</v>
      </c>
      <c r="L2" s="7" t="s">
        <v>40</v>
      </c>
      <c r="M2" s="7" t="s">
        <v>18</v>
      </c>
      <c r="N2" s="6"/>
      <c r="O2" s="7" t="s">
        <v>15</v>
      </c>
      <c r="P2" s="7" t="s">
        <v>16</v>
      </c>
      <c r="Q2" s="7" t="s">
        <v>17</v>
      </c>
      <c r="R2" s="7" t="s">
        <v>38</v>
      </c>
      <c r="S2" s="7" t="s">
        <v>40</v>
      </c>
      <c r="T2" s="7" t="s">
        <v>18</v>
      </c>
      <c r="AH2">
        <v>1</v>
      </c>
      <c r="AI2" t="s">
        <v>12</v>
      </c>
      <c r="AJ2" t="s">
        <v>22</v>
      </c>
      <c r="AK2" t="s">
        <v>27</v>
      </c>
      <c r="AL2" t="s">
        <v>83</v>
      </c>
      <c r="AM2" t="s">
        <v>91</v>
      </c>
    </row>
    <row r="3" spans="1:39" ht="15.75" thickBot="1" x14ac:dyDescent="0.3">
      <c r="B3" t="s">
        <v>37</v>
      </c>
      <c r="C3" s="29">
        <v>15</v>
      </c>
      <c r="F3" s="1"/>
      <c r="H3" s="2"/>
      <c r="I3" s="2"/>
      <c r="J3" s="2"/>
      <c r="K3" s="2"/>
      <c r="L3" s="2"/>
      <c r="M3" s="2"/>
      <c r="O3" s="2"/>
      <c r="P3" s="2"/>
      <c r="Q3" s="2"/>
      <c r="R3" s="2"/>
      <c r="S3" s="2"/>
      <c r="T3" s="2"/>
      <c r="AH3">
        <v>2</v>
      </c>
      <c r="AI3" t="s">
        <v>13</v>
      </c>
      <c r="AJ3" t="s">
        <v>79</v>
      </c>
      <c r="AK3" t="s">
        <v>28</v>
      </c>
      <c r="AL3" t="s">
        <v>84</v>
      </c>
      <c r="AM3" t="s">
        <v>92</v>
      </c>
    </row>
    <row r="4" spans="1:39" ht="15.75" thickBot="1" x14ac:dyDescent="0.3">
      <c r="C4" s="29"/>
      <c r="F4" s="1"/>
      <c r="H4" s="2"/>
      <c r="I4" s="2"/>
      <c r="J4" s="2"/>
      <c r="K4" s="2"/>
      <c r="L4" s="2"/>
      <c r="M4" s="2"/>
      <c r="O4" s="3">
        <f>SUM(O7:O49)</f>
        <v>14</v>
      </c>
      <c r="P4" s="4">
        <f t="shared" ref="P4:T4" si="0">SUM(P7:P49)</f>
        <v>17</v>
      </c>
      <c r="Q4" s="4">
        <f t="shared" si="0"/>
        <v>12</v>
      </c>
      <c r="R4" s="4">
        <f t="shared" ref="R4" si="1">SUM(R7:R49)</f>
        <v>16</v>
      </c>
      <c r="S4" s="4">
        <f>SUM(S7:S49)</f>
        <v>12</v>
      </c>
      <c r="T4" s="5">
        <f t="shared" si="0"/>
        <v>11</v>
      </c>
      <c r="AH4">
        <v>3</v>
      </c>
      <c r="AI4" t="s">
        <v>66</v>
      </c>
      <c r="AJ4" t="s">
        <v>23</v>
      </c>
      <c r="AK4" t="s">
        <v>80</v>
      </c>
      <c r="AL4" t="s">
        <v>85</v>
      </c>
      <c r="AM4" t="s">
        <v>93</v>
      </c>
    </row>
    <row r="5" spans="1:39" x14ac:dyDescent="0.25">
      <c r="C5" s="21"/>
      <c r="F5" s="1"/>
      <c r="H5" s="2"/>
      <c r="I5" s="2"/>
      <c r="J5" s="2"/>
      <c r="K5" s="2"/>
      <c r="L5" s="2"/>
      <c r="M5" s="2"/>
      <c r="AI5" t="s">
        <v>9</v>
      </c>
      <c r="AJ5" t="s">
        <v>24</v>
      </c>
      <c r="AK5" t="s">
        <v>81</v>
      </c>
      <c r="AL5" t="s">
        <v>86</v>
      </c>
      <c r="AM5" t="s">
        <v>94</v>
      </c>
    </row>
    <row r="6" spans="1:39" ht="15.75" thickBot="1" x14ac:dyDescent="0.3">
      <c r="A6" t="s">
        <v>31</v>
      </c>
      <c r="AI6" t="s">
        <v>3</v>
      </c>
      <c r="AJ6" t="s">
        <v>25</v>
      </c>
      <c r="AK6" t="s">
        <v>29</v>
      </c>
      <c r="AL6" t="s">
        <v>30</v>
      </c>
      <c r="AM6" t="s">
        <v>95</v>
      </c>
    </row>
    <row r="7" spans="1:39" x14ac:dyDescent="0.25">
      <c r="A7">
        <v>5</v>
      </c>
      <c r="B7" t="s">
        <v>87</v>
      </c>
      <c r="F7" s="17"/>
      <c r="H7" s="8" t="s">
        <v>9</v>
      </c>
      <c r="I7" s="8" t="s">
        <v>9</v>
      </c>
      <c r="J7" s="8" t="s">
        <v>12</v>
      </c>
      <c r="K7" s="8" t="s">
        <v>21</v>
      </c>
      <c r="L7" s="8" t="s">
        <v>9</v>
      </c>
      <c r="M7" s="8" t="s">
        <v>9</v>
      </c>
      <c r="O7" s="11">
        <f t="shared" ref="O7:T7" si="2">IF($F7="",0,IF($F7=H7,5,0))</f>
        <v>0</v>
      </c>
      <c r="P7" s="12">
        <f t="shared" si="2"/>
        <v>0</v>
      </c>
      <c r="Q7" s="12">
        <f t="shared" si="2"/>
        <v>0</v>
      </c>
      <c r="R7" s="12">
        <f t="shared" si="2"/>
        <v>0</v>
      </c>
      <c r="S7" s="12">
        <f t="shared" si="2"/>
        <v>0</v>
      </c>
      <c r="T7" s="13">
        <f t="shared" si="2"/>
        <v>0</v>
      </c>
      <c r="AI7" t="s">
        <v>48</v>
      </c>
      <c r="AJ7" t="s">
        <v>26</v>
      </c>
      <c r="AK7" t="s">
        <v>82</v>
      </c>
      <c r="AL7" t="s">
        <v>28</v>
      </c>
      <c r="AM7" t="s">
        <v>96</v>
      </c>
    </row>
    <row r="8" spans="1:39" x14ac:dyDescent="0.25">
      <c r="A8">
        <v>5</v>
      </c>
      <c r="B8" t="s">
        <v>32</v>
      </c>
      <c r="F8" s="18"/>
      <c r="H8" s="9" t="s">
        <v>25</v>
      </c>
      <c r="I8" s="9" t="s">
        <v>23</v>
      </c>
      <c r="J8" s="9" t="s">
        <v>24</v>
      </c>
      <c r="K8" s="9" t="s">
        <v>25</v>
      </c>
      <c r="L8" s="9" t="s">
        <v>24</v>
      </c>
      <c r="M8" s="9" t="s">
        <v>24</v>
      </c>
      <c r="O8" s="14">
        <f>IF($F8="",0,IF($F8=H8,5,0))</f>
        <v>0</v>
      </c>
      <c r="P8">
        <f t="shared" ref="P8" si="3">IF($F8="",0,IF($F8=I8,5,0))</f>
        <v>0</v>
      </c>
      <c r="Q8">
        <f t="shared" ref="Q8:S10" si="4">IF($F8="",0,IF($F8=J8,5,0))</f>
        <v>0</v>
      </c>
      <c r="R8">
        <f t="shared" si="4"/>
        <v>0</v>
      </c>
      <c r="S8">
        <f t="shared" si="4"/>
        <v>0</v>
      </c>
      <c r="T8" s="15">
        <f t="shared" ref="T8" si="5">IF($F8="",0,IF($F8=M8,5,0))</f>
        <v>0</v>
      </c>
      <c r="AI8" t="s">
        <v>21</v>
      </c>
      <c r="AJ8" t="s">
        <v>78</v>
      </c>
      <c r="AK8" t="s">
        <v>21</v>
      </c>
      <c r="AL8" t="s">
        <v>27</v>
      </c>
      <c r="AM8" t="s">
        <v>97</v>
      </c>
    </row>
    <row r="9" spans="1:39" x14ac:dyDescent="0.25">
      <c r="A9">
        <v>5</v>
      </c>
      <c r="B9" t="s">
        <v>33</v>
      </c>
      <c r="F9" s="18"/>
      <c r="H9" s="9" t="s">
        <v>29</v>
      </c>
      <c r="I9" s="9" t="s">
        <v>82</v>
      </c>
      <c r="J9" s="9" t="s">
        <v>27</v>
      </c>
      <c r="K9" s="9" t="s">
        <v>82</v>
      </c>
      <c r="L9" s="9" t="s">
        <v>82</v>
      </c>
      <c r="M9" s="9" t="s">
        <v>27</v>
      </c>
      <c r="O9" s="14">
        <f>IF($F9="",0,IF($F9=H9,5,0))</f>
        <v>0</v>
      </c>
      <c r="P9">
        <f t="shared" ref="P9" si="6">IF($F9="",0,IF($F9=I9,5,0))</f>
        <v>0</v>
      </c>
      <c r="Q9">
        <f t="shared" si="4"/>
        <v>0</v>
      </c>
      <c r="R9">
        <f t="shared" si="4"/>
        <v>0</v>
      </c>
      <c r="S9">
        <f t="shared" si="4"/>
        <v>0</v>
      </c>
      <c r="T9" s="15">
        <f t="shared" ref="T9" si="7">IF($F9="",0,IF($F9=M9,5,0))</f>
        <v>0</v>
      </c>
      <c r="AL9" t="s">
        <v>21</v>
      </c>
      <c r="AM9" t="s">
        <v>98</v>
      </c>
    </row>
    <row r="10" spans="1:39" x14ac:dyDescent="0.25">
      <c r="A10">
        <v>5</v>
      </c>
      <c r="B10" t="s">
        <v>34</v>
      </c>
      <c r="F10" s="18" t="s">
        <v>21</v>
      </c>
      <c r="H10" s="9" t="s">
        <v>21</v>
      </c>
      <c r="I10" s="9" t="s">
        <v>30</v>
      </c>
      <c r="J10" s="9" t="s">
        <v>86</v>
      </c>
      <c r="K10" s="9" t="s">
        <v>21</v>
      </c>
      <c r="L10" s="9" t="s">
        <v>85</v>
      </c>
      <c r="M10" s="9" t="s">
        <v>85</v>
      </c>
      <c r="O10" s="14">
        <f>IF($F10="",0,IF($F10=H10,5,0))</f>
        <v>5</v>
      </c>
      <c r="P10">
        <f>IF($F10="",0,IF($F10=I10,5,0))</f>
        <v>0</v>
      </c>
      <c r="Q10">
        <f t="shared" si="4"/>
        <v>0</v>
      </c>
      <c r="R10">
        <f t="shared" si="4"/>
        <v>5</v>
      </c>
      <c r="S10">
        <f t="shared" si="4"/>
        <v>0</v>
      </c>
      <c r="T10" s="15">
        <f>IF($F10="",0,IF($F10=M10,5,0))</f>
        <v>0</v>
      </c>
      <c r="AM10" t="s">
        <v>99</v>
      </c>
    </row>
    <row r="11" spans="1:39" ht="15.75" thickBot="1" x14ac:dyDescent="0.3">
      <c r="A11">
        <v>5</v>
      </c>
      <c r="B11" t="s">
        <v>88</v>
      </c>
      <c r="F11" s="18" t="s">
        <v>89</v>
      </c>
      <c r="H11" s="10" t="s">
        <v>95</v>
      </c>
      <c r="I11" s="10" t="s">
        <v>89</v>
      </c>
      <c r="J11" s="10" t="s">
        <v>93</v>
      </c>
      <c r="K11" s="10" t="s">
        <v>96</v>
      </c>
      <c r="L11" s="10" t="s">
        <v>98</v>
      </c>
      <c r="M11" s="10" t="s">
        <v>96</v>
      </c>
      <c r="O11" s="14">
        <f>IF($F11="",0,IF($F11=H11,5,0))</f>
        <v>0</v>
      </c>
      <c r="P11">
        <f>IF($F11="",0,IF($F11=I11,5,0))</f>
        <v>5</v>
      </c>
      <c r="Q11">
        <f t="shared" ref="Q11" si="8">IF($F11="",0,IF($F11=J11,5,0))</f>
        <v>0</v>
      </c>
      <c r="R11">
        <f t="shared" ref="R11" si="9">IF($F11="",0,IF($F11=K11,5,0))</f>
        <v>0</v>
      </c>
      <c r="S11">
        <f t="shared" ref="S11" si="10">IF($F11="",0,IF($F11=L11,5,0))</f>
        <v>0</v>
      </c>
      <c r="T11" s="15">
        <f>IF($F11="",0,IF($F11=M11,5,0))</f>
        <v>0</v>
      </c>
      <c r="AM11" t="s">
        <v>89</v>
      </c>
    </row>
    <row r="12" spans="1:39" x14ac:dyDescent="0.25">
      <c r="AM12" t="s">
        <v>100</v>
      </c>
    </row>
    <row r="13" spans="1:39" ht="15.75" thickBot="1" x14ac:dyDescent="0.3">
      <c r="B13" s="22" t="s">
        <v>39</v>
      </c>
      <c r="C13" s="22" t="s">
        <v>74</v>
      </c>
      <c r="D13" s="22" t="s">
        <v>75</v>
      </c>
      <c r="E13" s="22" t="s">
        <v>76</v>
      </c>
      <c r="AM13" t="s">
        <v>101</v>
      </c>
    </row>
    <row r="14" spans="1:39" x14ac:dyDescent="0.25">
      <c r="A14">
        <v>1</v>
      </c>
      <c r="B14" s="23">
        <v>46184</v>
      </c>
      <c r="C14" s="24">
        <v>0.875</v>
      </c>
      <c r="D14" s="25" t="s">
        <v>41</v>
      </c>
      <c r="E14" s="25" t="s">
        <v>42</v>
      </c>
      <c r="F14" s="17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O14" s="8">
        <f>IF($F14="",0,IF($F14=H14,1,0))</f>
        <v>1</v>
      </c>
      <c r="P14" s="8">
        <f>IF($F14="",0,IF($F14=I14,1,0))</f>
        <v>1</v>
      </c>
      <c r="Q14" s="8">
        <f>IF($F14="",0,IF($F14=J14,1,0))</f>
        <v>1</v>
      </c>
      <c r="R14" s="8">
        <f>IF($F14="",0,IF($F14=K14,1,0))</f>
        <v>1</v>
      </c>
      <c r="S14" s="8">
        <f>IF($F14="",0,IF($F14=L14,1,0))</f>
        <v>1</v>
      </c>
      <c r="T14" s="8">
        <f t="shared" ref="T14" si="11">IF($F14="",0,IF($F14=M14,1,0))</f>
        <v>1</v>
      </c>
      <c r="AM14" t="s">
        <v>102</v>
      </c>
    </row>
    <row r="15" spans="1:39" x14ac:dyDescent="0.25">
      <c r="A15">
        <v>1</v>
      </c>
      <c r="B15" s="23">
        <v>46185</v>
      </c>
      <c r="C15" s="24">
        <v>0.16666666666666666</v>
      </c>
      <c r="D15" s="25" t="s">
        <v>43</v>
      </c>
      <c r="E15" s="25" t="s">
        <v>8</v>
      </c>
      <c r="F15" s="18">
        <v>1</v>
      </c>
      <c r="H15" s="9">
        <v>1</v>
      </c>
      <c r="I15" s="9">
        <v>3</v>
      </c>
      <c r="J15" s="9">
        <v>1</v>
      </c>
      <c r="K15" s="9">
        <v>1</v>
      </c>
      <c r="L15" s="9">
        <v>2</v>
      </c>
      <c r="M15" s="9">
        <v>1</v>
      </c>
      <c r="O15" s="9">
        <f t="shared" ref="O15:O78" si="12">IF($F15="",0,IF($F15=H15,1,0))</f>
        <v>1</v>
      </c>
      <c r="P15" s="9">
        <f t="shared" ref="P15:P78" si="13">IF($F15="",0,IF($F15=I15,1,0))</f>
        <v>0</v>
      </c>
      <c r="Q15" s="9">
        <f t="shared" ref="Q15:Q78" si="14">IF($F15="",0,IF($F15=J15,1,0))</f>
        <v>1</v>
      </c>
      <c r="R15" s="9">
        <f t="shared" ref="R15:R78" si="15">IF($F15="",0,IF($F15=K15,1,0))</f>
        <v>1</v>
      </c>
      <c r="S15" s="9">
        <f t="shared" ref="S15:S78" si="16">IF($F15="",0,IF($F15=L15,1,0))</f>
        <v>0</v>
      </c>
      <c r="T15" s="9">
        <f t="shared" ref="T15:T22" si="17">IF($F15="",0,IF($F15=M15,1,0))</f>
        <v>1</v>
      </c>
      <c r="AM15" t="s">
        <v>103</v>
      </c>
    </row>
    <row r="16" spans="1:39" ht="30" x14ac:dyDescent="0.25">
      <c r="A16">
        <v>1</v>
      </c>
      <c r="B16" s="23">
        <v>46185</v>
      </c>
      <c r="C16" s="24">
        <v>0.875</v>
      </c>
      <c r="D16" s="25" t="s">
        <v>44</v>
      </c>
      <c r="E16" s="25" t="s">
        <v>77</v>
      </c>
      <c r="F16" s="18">
        <v>2</v>
      </c>
      <c r="H16" s="9">
        <v>3</v>
      </c>
      <c r="I16" s="9">
        <v>3</v>
      </c>
      <c r="J16" s="9">
        <v>1</v>
      </c>
      <c r="K16" s="9">
        <v>2</v>
      </c>
      <c r="L16" s="9">
        <v>1</v>
      </c>
      <c r="M16" s="9">
        <v>3</v>
      </c>
      <c r="O16" s="9">
        <f t="shared" si="12"/>
        <v>0</v>
      </c>
      <c r="P16" s="9">
        <f t="shared" si="13"/>
        <v>0</v>
      </c>
      <c r="Q16" s="9">
        <f t="shared" si="14"/>
        <v>0</v>
      </c>
      <c r="R16" s="9">
        <f t="shared" si="15"/>
        <v>1</v>
      </c>
      <c r="S16" s="9">
        <f t="shared" si="16"/>
        <v>0</v>
      </c>
      <c r="T16" s="9">
        <f t="shared" si="17"/>
        <v>0</v>
      </c>
      <c r="AM16" t="s">
        <v>104</v>
      </c>
    </row>
    <row r="17" spans="1:39" x14ac:dyDescent="0.25">
      <c r="A17">
        <v>1</v>
      </c>
      <c r="B17" s="23">
        <v>46186</v>
      </c>
      <c r="C17" s="24">
        <v>0.125</v>
      </c>
      <c r="D17" s="25" t="s">
        <v>45</v>
      </c>
      <c r="E17" s="25" t="s">
        <v>46</v>
      </c>
      <c r="F17" s="18">
        <v>1</v>
      </c>
      <c r="H17" s="9">
        <v>3</v>
      </c>
      <c r="I17" s="9">
        <v>1</v>
      </c>
      <c r="J17" s="9">
        <v>1</v>
      </c>
      <c r="K17" s="9">
        <v>2</v>
      </c>
      <c r="L17" s="9">
        <v>1</v>
      </c>
      <c r="M17" s="9">
        <v>1</v>
      </c>
      <c r="O17" s="9">
        <f t="shared" si="12"/>
        <v>0</v>
      </c>
      <c r="P17" s="9">
        <f t="shared" si="13"/>
        <v>1</v>
      </c>
      <c r="Q17" s="9">
        <f t="shared" si="14"/>
        <v>1</v>
      </c>
      <c r="R17" s="9">
        <f t="shared" si="15"/>
        <v>0</v>
      </c>
      <c r="S17" s="9">
        <f t="shared" si="16"/>
        <v>1</v>
      </c>
      <c r="T17" s="9">
        <f t="shared" si="17"/>
        <v>1</v>
      </c>
      <c r="AM17" t="s">
        <v>105</v>
      </c>
    </row>
    <row r="18" spans="1:39" x14ac:dyDescent="0.25">
      <c r="A18">
        <v>1</v>
      </c>
      <c r="B18" s="23">
        <v>46186</v>
      </c>
      <c r="C18" s="24">
        <v>0.875</v>
      </c>
      <c r="D18" s="25" t="s">
        <v>47</v>
      </c>
      <c r="E18" s="25" t="s">
        <v>1</v>
      </c>
      <c r="F18" s="18">
        <v>2</v>
      </c>
      <c r="H18" s="9">
        <v>3</v>
      </c>
      <c r="I18" s="9">
        <v>3</v>
      </c>
      <c r="J18" s="9">
        <v>2</v>
      </c>
      <c r="K18" s="9">
        <v>3</v>
      </c>
      <c r="L18" s="9">
        <v>3</v>
      </c>
      <c r="M18" s="9">
        <v>3</v>
      </c>
      <c r="O18" s="9">
        <f t="shared" si="12"/>
        <v>0</v>
      </c>
      <c r="P18" s="9">
        <f t="shared" si="13"/>
        <v>0</v>
      </c>
      <c r="Q18" s="9">
        <f t="shared" si="14"/>
        <v>1</v>
      </c>
      <c r="R18" s="9">
        <f t="shared" si="15"/>
        <v>0</v>
      </c>
      <c r="S18" s="9">
        <f t="shared" si="16"/>
        <v>0</v>
      </c>
      <c r="T18" s="9">
        <f t="shared" si="17"/>
        <v>0</v>
      </c>
    </row>
    <row r="19" spans="1:39" x14ac:dyDescent="0.25">
      <c r="A19">
        <v>1</v>
      </c>
      <c r="B19" s="23">
        <v>46187</v>
      </c>
      <c r="C19" s="24">
        <v>0</v>
      </c>
      <c r="D19" s="25" t="s">
        <v>48</v>
      </c>
      <c r="E19" s="25" t="s">
        <v>49</v>
      </c>
      <c r="F19" s="18">
        <v>2</v>
      </c>
      <c r="H19" s="9">
        <v>1</v>
      </c>
      <c r="I19" s="9">
        <v>1</v>
      </c>
      <c r="J19" s="9">
        <v>2</v>
      </c>
      <c r="K19" s="9">
        <v>1</v>
      </c>
      <c r="L19" s="9">
        <v>2</v>
      </c>
      <c r="M19" s="9">
        <v>1</v>
      </c>
      <c r="O19" s="9">
        <f t="shared" si="12"/>
        <v>0</v>
      </c>
      <c r="P19" s="9">
        <f t="shared" si="13"/>
        <v>0</v>
      </c>
      <c r="Q19" s="9">
        <f t="shared" si="14"/>
        <v>1</v>
      </c>
      <c r="R19" s="9">
        <f t="shared" si="15"/>
        <v>0</v>
      </c>
      <c r="S19" s="9">
        <f t="shared" si="16"/>
        <v>1</v>
      </c>
      <c r="T19" s="9">
        <f t="shared" si="17"/>
        <v>0</v>
      </c>
    </row>
    <row r="20" spans="1:39" x14ac:dyDescent="0.25">
      <c r="A20">
        <v>1</v>
      </c>
      <c r="B20" s="23">
        <v>46187</v>
      </c>
      <c r="C20" s="24">
        <v>0.125</v>
      </c>
      <c r="D20" s="25" t="s">
        <v>50</v>
      </c>
      <c r="E20" s="25" t="s">
        <v>7</v>
      </c>
      <c r="F20" s="18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2</v>
      </c>
      <c r="O20" s="9">
        <f t="shared" si="12"/>
        <v>1</v>
      </c>
      <c r="P20" s="9">
        <f t="shared" si="13"/>
        <v>1</v>
      </c>
      <c r="Q20" s="9">
        <f t="shared" si="14"/>
        <v>1</v>
      </c>
      <c r="R20" s="9">
        <f t="shared" si="15"/>
        <v>1</v>
      </c>
      <c r="S20" s="9">
        <f t="shared" si="16"/>
        <v>1</v>
      </c>
      <c r="T20" s="9">
        <f t="shared" si="17"/>
        <v>0</v>
      </c>
    </row>
    <row r="21" spans="1:39" x14ac:dyDescent="0.25">
      <c r="A21">
        <v>1</v>
      </c>
      <c r="B21" s="23">
        <v>46187</v>
      </c>
      <c r="C21" s="24">
        <v>0.25</v>
      </c>
      <c r="D21" s="25" t="s">
        <v>51</v>
      </c>
      <c r="E21" s="25" t="s">
        <v>0</v>
      </c>
      <c r="F21" s="18">
        <v>1</v>
      </c>
      <c r="H21" s="9">
        <v>3</v>
      </c>
      <c r="I21" s="9">
        <v>3</v>
      </c>
      <c r="J21" s="9">
        <v>3</v>
      </c>
      <c r="K21" s="9">
        <v>3</v>
      </c>
      <c r="L21" s="9">
        <v>3</v>
      </c>
      <c r="M21" s="9">
        <v>3</v>
      </c>
      <c r="O21" s="9">
        <f t="shared" si="12"/>
        <v>0</v>
      </c>
      <c r="P21" s="9">
        <f t="shared" si="13"/>
        <v>0</v>
      </c>
      <c r="Q21" s="9">
        <f t="shared" si="14"/>
        <v>0</v>
      </c>
      <c r="R21" s="9">
        <f t="shared" si="15"/>
        <v>0</v>
      </c>
      <c r="S21" s="9">
        <f t="shared" si="16"/>
        <v>0</v>
      </c>
      <c r="T21" s="9">
        <f t="shared" si="17"/>
        <v>0</v>
      </c>
    </row>
    <row r="22" spans="1:39" x14ac:dyDescent="0.25">
      <c r="A22">
        <v>1</v>
      </c>
      <c r="B22" s="23">
        <v>46187</v>
      </c>
      <c r="C22" s="24">
        <v>0.79166666666666663</v>
      </c>
      <c r="D22" s="25" t="s">
        <v>13</v>
      </c>
      <c r="E22" s="25" t="s">
        <v>52</v>
      </c>
      <c r="F22" s="18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O22" s="9">
        <f t="shared" si="12"/>
        <v>1</v>
      </c>
      <c r="P22" s="9">
        <f t="shared" si="13"/>
        <v>1</v>
      </c>
      <c r="Q22" s="9">
        <f t="shared" si="14"/>
        <v>1</v>
      </c>
      <c r="R22" s="9">
        <f t="shared" si="15"/>
        <v>1</v>
      </c>
      <c r="S22" s="9">
        <f t="shared" si="16"/>
        <v>1</v>
      </c>
      <c r="T22" s="9">
        <f t="shared" si="17"/>
        <v>1</v>
      </c>
    </row>
    <row r="23" spans="1:39" x14ac:dyDescent="0.25">
      <c r="A23" s="6">
        <v>1</v>
      </c>
      <c r="B23" s="26">
        <v>46187</v>
      </c>
      <c r="C23" s="27">
        <v>0.91666666666666663</v>
      </c>
      <c r="D23" s="28" t="s">
        <v>6</v>
      </c>
      <c r="E23" s="28" t="s">
        <v>53</v>
      </c>
      <c r="F23" s="18">
        <v>2</v>
      </c>
      <c r="H23" s="9">
        <v>1</v>
      </c>
      <c r="I23" s="9">
        <v>2</v>
      </c>
      <c r="J23" s="9">
        <v>1</v>
      </c>
      <c r="K23" s="9">
        <v>2</v>
      </c>
      <c r="L23" s="9">
        <v>2</v>
      </c>
      <c r="M23" s="9">
        <v>1</v>
      </c>
      <c r="O23" s="16">
        <f>IF($F23="",0,IF($F23=H23,2,0))</f>
        <v>0</v>
      </c>
      <c r="P23" s="16">
        <f t="shared" ref="P23:S23" si="18">IF($F23="",0,IF($F23=I23,2,0))</f>
        <v>2</v>
      </c>
      <c r="Q23" s="16">
        <f t="shared" si="18"/>
        <v>0</v>
      </c>
      <c r="R23" s="16">
        <f t="shared" si="18"/>
        <v>2</v>
      </c>
      <c r="S23" s="16">
        <f t="shared" si="18"/>
        <v>2</v>
      </c>
      <c r="T23" s="16">
        <f>IF($F23="",0,IF($F23=L23,2,0))</f>
        <v>2</v>
      </c>
    </row>
    <row r="24" spans="1:39" x14ac:dyDescent="0.25">
      <c r="A24">
        <v>1</v>
      </c>
      <c r="B24" s="23">
        <v>46188</v>
      </c>
      <c r="C24" s="24">
        <v>4.1666666666666664E-2</v>
      </c>
      <c r="D24" s="25" t="s">
        <v>54</v>
      </c>
      <c r="E24" s="25" t="s">
        <v>55</v>
      </c>
      <c r="F24" s="18">
        <v>1</v>
      </c>
      <c r="H24" s="9">
        <v>2</v>
      </c>
      <c r="I24" s="9">
        <v>3</v>
      </c>
      <c r="J24" s="9">
        <v>3</v>
      </c>
      <c r="K24" s="9">
        <v>2</v>
      </c>
      <c r="L24" s="9">
        <v>3</v>
      </c>
      <c r="M24" s="9">
        <v>2</v>
      </c>
      <c r="O24" s="9">
        <f t="shared" si="12"/>
        <v>0</v>
      </c>
      <c r="P24" s="9">
        <f t="shared" si="13"/>
        <v>0</v>
      </c>
      <c r="Q24" s="9">
        <f t="shared" si="14"/>
        <v>0</v>
      </c>
      <c r="R24" s="9">
        <f t="shared" si="15"/>
        <v>0</v>
      </c>
      <c r="S24" s="9">
        <f t="shared" si="16"/>
        <v>0</v>
      </c>
      <c r="T24" s="9">
        <f t="shared" ref="T24:T45" si="19">IF($F24="",0,IF($F24=M24,1,0))</f>
        <v>0</v>
      </c>
    </row>
    <row r="25" spans="1:39" x14ac:dyDescent="0.25">
      <c r="A25">
        <v>1</v>
      </c>
      <c r="B25" s="23">
        <v>46188</v>
      </c>
      <c r="C25" s="24">
        <v>0.16666666666666666</v>
      </c>
      <c r="D25" s="25" t="s">
        <v>10</v>
      </c>
      <c r="E25" s="25" t="s">
        <v>56</v>
      </c>
      <c r="F25" s="18">
        <v>1</v>
      </c>
      <c r="H25" s="9">
        <v>1</v>
      </c>
      <c r="I25" s="9">
        <v>1</v>
      </c>
      <c r="J25" s="9">
        <v>1</v>
      </c>
      <c r="K25" s="9">
        <v>3</v>
      </c>
      <c r="L25" s="9">
        <v>1</v>
      </c>
      <c r="M25" s="9">
        <v>1</v>
      </c>
      <c r="O25" s="9">
        <f t="shared" si="12"/>
        <v>1</v>
      </c>
      <c r="P25" s="9">
        <f t="shared" si="13"/>
        <v>1</v>
      </c>
      <c r="Q25" s="9">
        <f t="shared" si="14"/>
        <v>1</v>
      </c>
      <c r="R25" s="9">
        <f t="shared" si="15"/>
        <v>0</v>
      </c>
      <c r="S25" s="9">
        <f t="shared" si="16"/>
        <v>1</v>
      </c>
      <c r="T25" s="9">
        <f t="shared" si="19"/>
        <v>1</v>
      </c>
    </row>
    <row r="26" spans="1:39" x14ac:dyDescent="0.25">
      <c r="A26">
        <v>1</v>
      </c>
      <c r="B26" s="23">
        <v>46188</v>
      </c>
      <c r="C26" s="24">
        <v>0.75</v>
      </c>
      <c r="D26" s="25" t="s">
        <v>9</v>
      </c>
      <c r="E26" s="25" t="s">
        <v>57</v>
      </c>
      <c r="F26" s="18">
        <v>2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O26" s="9">
        <f t="shared" si="12"/>
        <v>0</v>
      </c>
      <c r="P26" s="9">
        <f t="shared" si="13"/>
        <v>0</v>
      </c>
      <c r="Q26" s="9">
        <f t="shared" si="14"/>
        <v>0</v>
      </c>
      <c r="R26" s="9">
        <f t="shared" si="15"/>
        <v>0</v>
      </c>
      <c r="S26" s="9">
        <f t="shared" si="16"/>
        <v>0</v>
      </c>
      <c r="T26" s="9">
        <f t="shared" si="19"/>
        <v>0</v>
      </c>
    </row>
    <row r="27" spans="1:39" x14ac:dyDescent="0.25">
      <c r="A27">
        <v>1</v>
      </c>
      <c r="B27" s="23">
        <v>46188</v>
      </c>
      <c r="C27" s="24">
        <v>0.875</v>
      </c>
      <c r="D27" s="25" t="s">
        <v>2</v>
      </c>
      <c r="E27" s="25" t="s">
        <v>58</v>
      </c>
      <c r="F27" s="18">
        <v>2</v>
      </c>
      <c r="H27" s="9">
        <v>1</v>
      </c>
      <c r="I27" s="9">
        <v>1</v>
      </c>
      <c r="J27" s="9">
        <v>1</v>
      </c>
      <c r="K27" s="9">
        <v>2</v>
      </c>
      <c r="L27" s="9">
        <v>1</v>
      </c>
      <c r="M27" s="9">
        <v>1</v>
      </c>
      <c r="O27" s="9">
        <f t="shared" si="12"/>
        <v>0</v>
      </c>
      <c r="P27" s="9">
        <f t="shared" si="13"/>
        <v>0</v>
      </c>
      <c r="Q27" s="9">
        <f t="shared" si="14"/>
        <v>0</v>
      </c>
      <c r="R27" s="9">
        <f t="shared" si="15"/>
        <v>1</v>
      </c>
      <c r="S27" s="9">
        <f t="shared" si="16"/>
        <v>0</v>
      </c>
      <c r="T27" s="9">
        <f t="shared" si="19"/>
        <v>0</v>
      </c>
    </row>
    <row r="28" spans="1:39" x14ac:dyDescent="0.25">
      <c r="A28">
        <v>1</v>
      </c>
      <c r="B28" s="23">
        <v>46189</v>
      </c>
      <c r="C28" s="24">
        <v>0</v>
      </c>
      <c r="D28" s="25" t="s">
        <v>59</v>
      </c>
      <c r="E28" s="25" t="s">
        <v>60</v>
      </c>
      <c r="F28" s="18">
        <v>2</v>
      </c>
      <c r="H28" s="9">
        <v>3</v>
      </c>
      <c r="I28" s="9">
        <v>3</v>
      </c>
      <c r="J28" s="9">
        <v>3</v>
      </c>
      <c r="K28" s="9">
        <v>1</v>
      </c>
      <c r="L28" s="9">
        <v>3</v>
      </c>
      <c r="M28" s="9">
        <v>3</v>
      </c>
      <c r="O28" s="9">
        <f t="shared" si="12"/>
        <v>0</v>
      </c>
      <c r="P28" s="9">
        <f t="shared" si="13"/>
        <v>0</v>
      </c>
      <c r="Q28" s="9">
        <f t="shared" si="14"/>
        <v>0</v>
      </c>
      <c r="R28" s="9">
        <f t="shared" si="15"/>
        <v>0</v>
      </c>
      <c r="S28" s="9">
        <f t="shared" si="16"/>
        <v>0</v>
      </c>
      <c r="T28" s="9">
        <f t="shared" si="19"/>
        <v>0</v>
      </c>
    </row>
    <row r="29" spans="1:39" x14ac:dyDescent="0.25">
      <c r="A29">
        <v>1</v>
      </c>
      <c r="B29" s="23">
        <v>46189</v>
      </c>
      <c r="C29" s="24">
        <v>0.125</v>
      </c>
      <c r="D29" s="25" t="s">
        <v>61</v>
      </c>
      <c r="E29" s="25" t="s">
        <v>62</v>
      </c>
      <c r="F29" s="18">
        <v>2</v>
      </c>
      <c r="H29" s="9">
        <v>2</v>
      </c>
      <c r="I29" s="9">
        <v>2</v>
      </c>
      <c r="J29" s="9">
        <v>1</v>
      </c>
      <c r="K29" s="9">
        <v>1</v>
      </c>
      <c r="L29" s="9">
        <v>1</v>
      </c>
      <c r="M29" s="9">
        <v>2</v>
      </c>
      <c r="O29" s="9">
        <f t="shared" si="12"/>
        <v>1</v>
      </c>
      <c r="P29" s="9">
        <f t="shared" si="13"/>
        <v>1</v>
      </c>
      <c r="Q29" s="9">
        <f t="shared" si="14"/>
        <v>0</v>
      </c>
      <c r="R29" s="9">
        <f t="shared" si="15"/>
        <v>0</v>
      </c>
      <c r="S29" s="9">
        <f t="shared" si="16"/>
        <v>0</v>
      </c>
      <c r="T29" s="9">
        <f t="shared" si="19"/>
        <v>1</v>
      </c>
    </row>
    <row r="30" spans="1:39" x14ac:dyDescent="0.25">
      <c r="A30">
        <v>1</v>
      </c>
      <c r="B30" s="23">
        <v>46189</v>
      </c>
      <c r="C30" s="24">
        <v>0.875</v>
      </c>
      <c r="D30" s="25" t="s">
        <v>12</v>
      </c>
      <c r="E30" s="25" t="s">
        <v>63</v>
      </c>
      <c r="F30" s="18">
        <v>1</v>
      </c>
      <c r="H30" s="9">
        <v>1</v>
      </c>
      <c r="I30" s="9">
        <v>1</v>
      </c>
      <c r="J30" s="9">
        <v>1</v>
      </c>
      <c r="K30" s="9">
        <v>2</v>
      </c>
      <c r="L30" s="9">
        <v>1</v>
      </c>
      <c r="M30" s="9">
        <v>1</v>
      </c>
      <c r="O30" s="9">
        <f t="shared" si="12"/>
        <v>1</v>
      </c>
      <c r="P30" s="9">
        <f t="shared" si="13"/>
        <v>1</v>
      </c>
      <c r="Q30" s="9">
        <f t="shared" si="14"/>
        <v>1</v>
      </c>
      <c r="R30" s="9">
        <f t="shared" si="15"/>
        <v>0</v>
      </c>
      <c r="S30" s="9">
        <f t="shared" si="16"/>
        <v>1</v>
      </c>
      <c r="T30" s="9">
        <f t="shared" si="19"/>
        <v>1</v>
      </c>
    </row>
    <row r="31" spans="1:39" x14ac:dyDescent="0.25">
      <c r="A31">
        <v>1</v>
      </c>
      <c r="B31" s="23">
        <v>46190</v>
      </c>
      <c r="C31" s="24">
        <v>0</v>
      </c>
      <c r="D31" s="25" t="s">
        <v>64</v>
      </c>
      <c r="E31" s="25" t="s">
        <v>65</v>
      </c>
      <c r="F31" s="20">
        <v>3</v>
      </c>
      <c r="G31" s="6"/>
      <c r="H31" s="9">
        <v>3</v>
      </c>
      <c r="I31" s="9">
        <v>3</v>
      </c>
      <c r="J31" s="9">
        <v>3</v>
      </c>
      <c r="K31" s="9">
        <v>3</v>
      </c>
      <c r="L31" s="9">
        <v>3</v>
      </c>
      <c r="M31" s="9">
        <v>3</v>
      </c>
      <c r="N31" s="6"/>
      <c r="O31" s="9">
        <f t="shared" si="12"/>
        <v>1</v>
      </c>
      <c r="P31" s="9">
        <f t="shared" si="13"/>
        <v>1</v>
      </c>
      <c r="Q31" s="9">
        <f t="shared" si="14"/>
        <v>1</v>
      </c>
      <c r="R31" s="9">
        <f t="shared" si="15"/>
        <v>1</v>
      </c>
      <c r="S31" s="9">
        <f t="shared" si="16"/>
        <v>1</v>
      </c>
      <c r="T31" s="9">
        <f t="shared" si="19"/>
        <v>1</v>
      </c>
    </row>
    <row r="32" spans="1:39" x14ac:dyDescent="0.25">
      <c r="A32">
        <v>1</v>
      </c>
      <c r="B32" s="23">
        <v>46190</v>
      </c>
      <c r="C32" s="24">
        <v>0.125</v>
      </c>
      <c r="D32" s="25" t="s">
        <v>66</v>
      </c>
      <c r="E32" s="25" t="s">
        <v>67</v>
      </c>
      <c r="F32" s="18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  <c r="O32" s="9">
        <f t="shared" si="12"/>
        <v>1</v>
      </c>
      <c r="P32" s="9">
        <f t="shared" si="13"/>
        <v>1</v>
      </c>
      <c r="Q32" s="9">
        <f t="shared" si="14"/>
        <v>1</v>
      </c>
      <c r="R32" s="9">
        <f t="shared" si="15"/>
        <v>1</v>
      </c>
      <c r="S32" s="9">
        <f t="shared" si="16"/>
        <v>1</v>
      </c>
      <c r="T32" s="9">
        <f t="shared" si="19"/>
        <v>1</v>
      </c>
    </row>
    <row r="33" spans="1:20" x14ac:dyDescent="0.25">
      <c r="A33">
        <v>1</v>
      </c>
      <c r="B33" s="23">
        <v>46190</v>
      </c>
      <c r="C33" s="24">
        <v>0.25</v>
      </c>
      <c r="D33" s="25" t="s">
        <v>5</v>
      </c>
      <c r="E33" s="25" t="s">
        <v>68</v>
      </c>
      <c r="F33" s="18">
        <v>1</v>
      </c>
      <c r="H33" s="9">
        <v>2</v>
      </c>
      <c r="I33" s="9">
        <v>1</v>
      </c>
      <c r="J33" s="9">
        <v>1</v>
      </c>
      <c r="K33" s="9">
        <v>1</v>
      </c>
      <c r="L33" s="9">
        <v>1</v>
      </c>
      <c r="M33" s="9">
        <v>2</v>
      </c>
      <c r="O33" s="9">
        <f t="shared" si="12"/>
        <v>0</v>
      </c>
      <c r="P33" s="9">
        <f t="shared" si="13"/>
        <v>1</v>
      </c>
      <c r="Q33" s="9">
        <f t="shared" si="14"/>
        <v>1</v>
      </c>
      <c r="R33" s="9">
        <f t="shared" si="15"/>
        <v>1</v>
      </c>
      <c r="S33" s="9">
        <f t="shared" si="16"/>
        <v>1</v>
      </c>
      <c r="T33" s="9">
        <f t="shared" si="19"/>
        <v>0</v>
      </c>
    </row>
    <row r="34" spans="1:20" x14ac:dyDescent="0.25">
      <c r="A34">
        <v>1</v>
      </c>
      <c r="B34" s="23">
        <v>46190</v>
      </c>
      <c r="C34" s="24">
        <v>0.79166666666666663</v>
      </c>
      <c r="D34" s="25" t="s">
        <v>11</v>
      </c>
      <c r="E34" s="25" t="s">
        <v>69</v>
      </c>
      <c r="F34" s="18"/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O34" s="9">
        <f t="shared" si="12"/>
        <v>0</v>
      </c>
      <c r="P34" s="9">
        <f t="shared" si="13"/>
        <v>0</v>
      </c>
      <c r="Q34" s="9">
        <f t="shared" si="14"/>
        <v>0</v>
      </c>
      <c r="R34" s="9">
        <f t="shared" si="15"/>
        <v>0</v>
      </c>
      <c r="S34" s="9">
        <f t="shared" si="16"/>
        <v>0</v>
      </c>
      <c r="T34" s="9">
        <f t="shared" si="19"/>
        <v>0</v>
      </c>
    </row>
    <row r="35" spans="1:20" x14ac:dyDescent="0.25">
      <c r="A35">
        <v>1</v>
      </c>
      <c r="B35" s="23">
        <v>46190</v>
      </c>
      <c r="C35" s="24">
        <v>0.91666666666666663</v>
      </c>
      <c r="D35" s="25" t="s">
        <v>3</v>
      </c>
      <c r="E35" s="25" t="s">
        <v>4</v>
      </c>
      <c r="F35" s="18"/>
      <c r="H35" s="9">
        <v>2</v>
      </c>
      <c r="I35" s="9">
        <v>1</v>
      </c>
      <c r="J35" s="9">
        <v>2</v>
      </c>
      <c r="K35" s="9">
        <v>1</v>
      </c>
      <c r="L35" s="9">
        <v>1</v>
      </c>
      <c r="M35" s="9">
        <v>1</v>
      </c>
      <c r="O35" s="9">
        <f t="shared" si="12"/>
        <v>0</v>
      </c>
      <c r="P35" s="9">
        <f t="shared" si="13"/>
        <v>0</v>
      </c>
      <c r="Q35" s="9">
        <f t="shared" si="14"/>
        <v>0</v>
      </c>
      <c r="R35" s="9">
        <f t="shared" si="15"/>
        <v>0</v>
      </c>
      <c r="S35" s="9">
        <f t="shared" si="16"/>
        <v>0</v>
      </c>
      <c r="T35" s="9">
        <f t="shared" si="19"/>
        <v>0</v>
      </c>
    </row>
    <row r="36" spans="1:20" x14ac:dyDescent="0.25">
      <c r="A36">
        <v>1</v>
      </c>
      <c r="B36" s="23">
        <v>46191</v>
      </c>
      <c r="C36" s="24">
        <v>4.1666666666666664E-2</v>
      </c>
      <c r="D36" s="25" t="s">
        <v>70</v>
      </c>
      <c r="E36" s="25" t="s">
        <v>71</v>
      </c>
      <c r="F36" s="18"/>
      <c r="H36" s="9">
        <v>2</v>
      </c>
      <c r="I36" s="9">
        <v>2</v>
      </c>
      <c r="J36" s="9">
        <v>1</v>
      </c>
      <c r="K36" s="9">
        <v>3</v>
      </c>
      <c r="L36" s="9">
        <v>1</v>
      </c>
      <c r="M36" s="9">
        <v>2</v>
      </c>
      <c r="O36" s="9">
        <f t="shared" si="12"/>
        <v>0</v>
      </c>
      <c r="P36" s="9">
        <f t="shared" si="13"/>
        <v>0</v>
      </c>
      <c r="Q36" s="9">
        <f t="shared" si="14"/>
        <v>0</v>
      </c>
      <c r="R36" s="9">
        <f t="shared" si="15"/>
        <v>0</v>
      </c>
      <c r="S36" s="9">
        <f t="shared" si="16"/>
        <v>0</v>
      </c>
      <c r="T36" s="9">
        <f t="shared" si="19"/>
        <v>0</v>
      </c>
    </row>
    <row r="37" spans="1:20" x14ac:dyDescent="0.25">
      <c r="A37">
        <v>1</v>
      </c>
      <c r="B37" s="23">
        <v>46191</v>
      </c>
      <c r="C37" s="24">
        <v>0.16666666666666666</v>
      </c>
      <c r="D37" s="25" t="s">
        <v>72</v>
      </c>
      <c r="E37" s="25" t="s">
        <v>73</v>
      </c>
      <c r="F37" s="18"/>
      <c r="H37" s="9">
        <v>1</v>
      </c>
      <c r="I37" s="9">
        <v>3</v>
      </c>
      <c r="J37" s="9">
        <v>3</v>
      </c>
      <c r="K37" s="9">
        <v>2</v>
      </c>
      <c r="L37" s="9">
        <v>3</v>
      </c>
      <c r="M37" s="9">
        <v>2</v>
      </c>
      <c r="O37" s="9">
        <f t="shared" si="12"/>
        <v>0</v>
      </c>
      <c r="P37" s="9">
        <f t="shared" si="13"/>
        <v>0</v>
      </c>
      <c r="Q37" s="9">
        <f t="shared" si="14"/>
        <v>0</v>
      </c>
      <c r="R37" s="9">
        <f t="shared" si="15"/>
        <v>0</v>
      </c>
      <c r="S37" s="9">
        <f t="shared" si="16"/>
        <v>0</v>
      </c>
      <c r="T37" s="9">
        <f t="shared" si="19"/>
        <v>0</v>
      </c>
    </row>
    <row r="38" spans="1:20" x14ac:dyDescent="0.25">
      <c r="A38">
        <v>1</v>
      </c>
      <c r="B38" s="23">
        <v>46191</v>
      </c>
      <c r="C38" s="24">
        <v>0.75</v>
      </c>
      <c r="D38" s="25" t="s">
        <v>8</v>
      </c>
      <c r="E38" s="25" t="s">
        <v>42</v>
      </c>
      <c r="F38" s="18"/>
      <c r="H38" s="9">
        <v>1</v>
      </c>
      <c r="I38" s="9">
        <v>1</v>
      </c>
      <c r="J38" s="9">
        <v>2</v>
      </c>
      <c r="K38" s="9">
        <v>1</v>
      </c>
      <c r="L38" s="9">
        <v>1</v>
      </c>
      <c r="M38" s="9">
        <v>1</v>
      </c>
      <c r="O38" s="9">
        <f t="shared" si="12"/>
        <v>0</v>
      </c>
      <c r="P38" s="9">
        <f t="shared" si="13"/>
        <v>0</v>
      </c>
      <c r="Q38" s="9">
        <f t="shared" si="14"/>
        <v>0</v>
      </c>
      <c r="R38" s="9">
        <f t="shared" si="15"/>
        <v>0</v>
      </c>
      <c r="S38" s="9">
        <f t="shared" si="16"/>
        <v>0</v>
      </c>
      <c r="T38" s="9">
        <f t="shared" si="19"/>
        <v>0</v>
      </c>
    </row>
    <row r="39" spans="1:20" ht="30" x14ac:dyDescent="0.25">
      <c r="A39">
        <v>1</v>
      </c>
      <c r="B39" s="23">
        <v>46191</v>
      </c>
      <c r="C39" s="24">
        <v>0.875</v>
      </c>
      <c r="D39" s="25" t="s">
        <v>1</v>
      </c>
      <c r="E39" s="25" t="s">
        <v>77</v>
      </c>
      <c r="F39" s="18"/>
      <c r="H39" s="9">
        <v>3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O39" s="9">
        <f t="shared" si="12"/>
        <v>0</v>
      </c>
      <c r="P39" s="9">
        <f t="shared" si="13"/>
        <v>0</v>
      </c>
      <c r="Q39" s="9">
        <f t="shared" si="14"/>
        <v>0</v>
      </c>
      <c r="R39" s="9">
        <f t="shared" si="15"/>
        <v>0</v>
      </c>
      <c r="S39" s="9">
        <f t="shared" si="16"/>
        <v>0</v>
      </c>
      <c r="T39" s="9">
        <f t="shared" si="19"/>
        <v>0</v>
      </c>
    </row>
    <row r="40" spans="1:20" x14ac:dyDescent="0.25">
      <c r="A40">
        <v>1</v>
      </c>
      <c r="B40" s="23">
        <v>46192</v>
      </c>
      <c r="C40" s="24">
        <v>0</v>
      </c>
      <c r="D40" s="25" t="s">
        <v>44</v>
      </c>
      <c r="E40" s="25" t="s">
        <v>47</v>
      </c>
      <c r="F40" s="20"/>
      <c r="G40" s="6"/>
      <c r="H40" s="9">
        <v>3</v>
      </c>
      <c r="I40" s="9">
        <v>2</v>
      </c>
      <c r="J40" s="9">
        <v>1</v>
      </c>
      <c r="K40" s="9">
        <v>3</v>
      </c>
      <c r="L40" s="9">
        <v>1</v>
      </c>
      <c r="M40" s="9">
        <v>3</v>
      </c>
      <c r="N40" s="6"/>
      <c r="O40" s="9">
        <f t="shared" si="12"/>
        <v>0</v>
      </c>
      <c r="P40" s="9">
        <f t="shared" si="13"/>
        <v>0</v>
      </c>
      <c r="Q40" s="9">
        <f t="shared" si="14"/>
        <v>0</v>
      </c>
      <c r="R40" s="9">
        <f t="shared" si="15"/>
        <v>0</v>
      </c>
      <c r="S40" s="9">
        <f t="shared" si="16"/>
        <v>0</v>
      </c>
      <c r="T40" s="9">
        <f t="shared" si="19"/>
        <v>0</v>
      </c>
    </row>
    <row r="41" spans="1:20" x14ac:dyDescent="0.25">
      <c r="A41">
        <v>1</v>
      </c>
      <c r="B41" s="23">
        <v>46192</v>
      </c>
      <c r="C41" s="24">
        <v>0.125</v>
      </c>
      <c r="D41" s="25" t="s">
        <v>41</v>
      </c>
      <c r="E41" s="25" t="s">
        <v>43</v>
      </c>
      <c r="F41" s="18"/>
      <c r="H41" s="9">
        <v>1</v>
      </c>
      <c r="I41" s="9">
        <v>1</v>
      </c>
      <c r="J41" s="9">
        <v>3</v>
      </c>
      <c r="K41" s="9">
        <v>1</v>
      </c>
      <c r="L41" s="9">
        <v>1</v>
      </c>
      <c r="M41" s="9">
        <v>3</v>
      </c>
      <c r="O41" s="9">
        <f t="shared" si="12"/>
        <v>0</v>
      </c>
      <c r="P41" s="9">
        <f t="shared" si="13"/>
        <v>0</v>
      </c>
      <c r="Q41" s="9">
        <f t="shared" si="14"/>
        <v>0</v>
      </c>
      <c r="R41" s="9">
        <f t="shared" si="15"/>
        <v>0</v>
      </c>
      <c r="S41" s="9">
        <f t="shared" si="16"/>
        <v>0</v>
      </c>
      <c r="T41" s="9">
        <f t="shared" si="19"/>
        <v>0</v>
      </c>
    </row>
    <row r="42" spans="1:20" x14ac:dyDescent="0.25">
      <c r="A42">
        <v>1</v>
      </c>
      <c r="B42" s="23">
        <v>46192</v>
      </c>
      <c r="C42" s="24">
        <v>0.875</v>
      </c>
      <c r="D42" s="25" t="s">
        <v>45</v>
      </c>
      <c r="E42" s="25" t="s">
        <v>51</v>
      </c>
      <c r="F42" s="18"/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O42" s="9">
        <f t="shared" si="12"/>
        <v>0</v>
      </c>
      <c r="P42" s="9">
        <f t="shared" si="13"/>
        <v>0</v>
      </c>
      <c r="Q42" s="9">
        <f t="shared" si="14"/>
        <v>0</v>
      </c>
      <c r="R42" s="9">
        <f t="shared" si="15"/>
        <v>0</v>
      </c>
      <c r="S42" s="9">
        <f t="shared" si="16"/>
        <v>0</v>
      </c>
      <c r="T42" s="9">
        <f t="shared" si="19"/>
        <v>0</v>
      </c>
    </row>
    <row r="43" spans="1:20" x14ac:dyDescent="0.25">
      <c r="A43">
        <v>1</v>
      </c>
      <c r="B43" s="23">
        <v>46193</v>
      </c>
      <c r="C43" s="24">
        <v>0</v>
      </c>
      <c r="D43" s="25" t="s">
        <v>7</v>
      </c>
      <c r="E43" s="25" t="s">
        <v>49</v>
      </c>
      <c r="F43" s="18"/>
      <c r="H43" s="9">
        <v>3</v>
      </c>
      <c r="I43" s="9">
        <v>3</v>
      </c>
      <c r="J43" s="9">
        <v>3</v>
      </c>
      <c r="K43" s="9">
        <v>3</v>
      </c>
      <c r="L43" s="9">
        <v>3</v>
      </c>
      <c r="M43" s="9">
        <v>3</v>
      </c>
      <c r="O43" s="9">
        <f t="shared" si="12"/>
        <v>0</v>
      </c>
      <c r="P43" s="9">
        <f t="shared" si="13"/>
        <v>0</v>
      </c>
      <c r="Q43" s="9">
        <f t="shared" si="14"/>
        <v>0</v>
      </c>
      <c r="R43" s="9">
        <f t="shared" si="15"/>
        <v>0</v>
      </c>
      <c r="S43" s="9">
        <f t="shared" si="16"/>
        <v>0</v>
      </c>
      <c r="T43" s="9">
        <f t="shared" si="19"/>
        <v>0</v>
      </c>
    </row>
    <row r="44" spans="1:20" x14ac:dyDescent="0.25">
      <c r="A44">
        <v>1</v>
      </c>
      <c r="B44" s="23">
        <v>46193</v>
      </c>
      <c r="C44" s="24">
        <v>0.10416666666666667</v>
      </c>
      <c r="D44" s="25" t="s">
        <v>48</v>
      </c>
      <c r="E44" s="25" t="s">
        <v>50</v>
      </c>
      <c r="F44" s="18"/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O44" s="9">
        <f t="shared" si="12"/>
        <v>0</v>
      </c>
      <c r="P44" s="9">
        <f t="shared" si="13"/>
        <v>0</v>
      </c>
      <c r="Q44" s="9">
        <f t="shared" si="14"/>
        <v>0</v>
      </c>
      <c r="R44" s="9">
        <f t="shared" si="15"/>
        <v>0</v>
      </c>
      <c r="S44" s="9">
        <f t="shared" si="16"/>
        <v>0</v>
      </c>
      <c r="T44" s="9">
        <f t="shared" si="19"/>
        <v>0</v>
      </c>
    </row>
    <row r="45" spans="1:20" x14ac:dyDescent="0.25">
      <c r="A45">
        <v>1</v>
      </c>
      <c r="B45" s="23">
        <v>46193</v>
      </c>
      <c r="C45" s="24">
        <v>0.20833333333333334</v>
      </c>
      <c r="D45" s="25" t="s">
        <v>0</v>
      </c>
      <c r="E45" s="25" t="s">
        <v>46</v>
      </c>
      <c r="F45" s="18"/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O45" s="9">
        <f t="shared" si="12"/>
        <v>0</v>
      </c>
      <c r="P45" s="9">
        <f t="shared" si="13"/>
        <v>0</v>
      </c>
      <c r="Q45" s="9">
        <f t="shared" si="14"/>
        <v>0</v>
      </c>
      <c r="R45" s="9">
        <f t="shared" si="15"/>
        <v>0</v>
      </c>
      <c r="S45" s="9">
        <f t="shared" si="16"/>
        <v>0</v>
      </c>
      <c r="T45" s="9">
        <f t="shared" si="19"/>
        <v>0</v>
      </c>
    </row>
    <row r="46" spans="1:20" x14ac:dyDescent="0.25">
      <c r="A46" s="6">
        <v>1</v>
      </c>
      <c r="B46" s="26">
        <v>46193</v>
      </c>
      <c r="C46" s="27">
        <v>0.79166666666666663</v>
      </c>
      <c r="D46" s="28" t="s">
        <v>6</v>
      </c>
      <c r="E46" s="28" t="s">
        <v>10</v>
      </c>
      <c r="F46" s="18"/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2</v>
      </c>
      <c r="O46" s="16">
        <f>IF($F46="",0,IF($F46=H46,2,0))</f>
        <v>0</v>
      </c>
      <c r="P46" s="16">
        <f t="shared" ref="P46:S46" si="20">IF($F46="",0,IF($F46=I46,2,0))</f>
        <v>0</v>
      </c>
      <c r="Q46" s="16">
        <f t="shared" si="20"/>
        <v>0</v>
      </c>
      <c r="R46" s="16">
        <f t="shared" si="20"/>
        <v>0</v>
      </c>
      <c r="S46" s="16">
        <f t="shared" si="20"/>
        <v>0</v>
      </c>
      <c r="T46" s="16">
        <f>IF($F46="",0,IF($F46=L46,2,0))</f>
        <v>0</v>
      </c>
    </row>
    <row r="47" spans="1:20" x14ac:dyDescent="0.25">
      <c r="A47">
        <v>1</v>
      </c>
      <c r="B47" s="23">
        <v>46193</v>
      </c>
      <c r="C47" s="24">
        <v>0.91666666666666663</v>
      </c>
      <c r="D47" s="25" t="s">
        <v>13</v>
      </c>
      <c r="E47" s="25" t="s">
        <v>54</v>
      </c>
      <c r="F47" s="18"/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O47" s="9">
        <f t="shared" si="12"/>
        <v>0</v>
      </c>
      <c r="P47" s="9">
        <f t="shared" si="13"/>
        <v>0</v>
      </c>
      <c r="Q47" s="9">
        <f t="shared" si="14"/>
        <v>0</v>
      </c>
      <c r="R47" s="9">
        <f t="shared" si="15"/>
        <v>0</v>
      </c>
      <c r="S47" s="9">
        <f t="shared" si="16"/>
        <v>0</v>
      </c>
      <c r="T47" s="9">
        <f t="shared" ref="T47:T69" si="21">IF($F47="",0,IF($F47=M47,1,0))</f>
        <v>0</v>
      </c>
    </row>
    <row r="48" spans="1:20" x14ac:dyDescent="0.25">
      <c r="A48">
        <v>1</v>
      </c>
      <c r="B48" s="23">
        <v>46194</v>
      </c>
      <c r="C48" s="24">
        <v>8.3333333333333329E-2</v>
      </c>
      <c r="D48" s="25" t="s">
        <v>55</v>
      </c>
      <c r="E48" s="25" t="s">
        <v>52</v>
      </c>
      <c r="F48" s="18"/>
      <c r="H48" s="9">
        <v>3</v>
      </c>
      <c r="I48" s="9">
        <v>1</v>
      </c>
      <c r="J48" s="9">
        <v>2</v>
      </c>
      <c r="K48" s="9">
        <v>3</v>
      </c>
      <c r="L48" s="9">
        <v>1</v>
      </c>
      <c r="M48" s="9">
        <v>2</v>
      </c>
      <c r="O48" s="9">
        <f t="shared" si="12"/>
        <v>0</v>
      </c>
      <c r="P48" s="9">
        <f t="shared" si="13"/>
        <v>0</v>
      </c>
      <c r="Q48" s="9">
        <f t="shared" si="14"/>
        <v>0</v>
      </c>
      <c r="R48" s="9">
        <f t="shared" si="15"/>
        <v>0</v>
      </c>
      <c r="S48" s="9">
        <f t="shared" si="16"/>
        <v>0</v>
      </c>
      <c r="T48" s="9">
        <f t="shared" si="21"/>
        <v>0</v>
      </c>
    </row>
    <row r="49" spans="1:20" x14ac:dyDescent="0.25">
      <c r="A49">
        <v>1</v>
      </c>
      <c r="B49" s="23">
        <v>46194</v>
      </c>
      <c r="C49" s="24">
        <v>0.25</v>
      </c>
      <c r="D49" s="25" t="s">
        <v>56</v>
      </c>
      <c r="E49" s="25" t="s">
        <v>53</v>
      </c>
      <c r="F49" s="18"/>
      <c r="H49" s="9">
        <v>3</v>
      </c>
      <c r="I49" s="9">
        <v>3</v>
      </c>
      <c r="J49" s="9">
        <v>3</v>
      </c>
      <c r="K49" s="9">
        <v>3</v>
      </c>
      <c r="L49" s="9">
        <v>3</v>
      </c>
      <c r="M49" s="9">
        <v>2</v>
      </c>
      <c r="O49" s="9">
        <f t="shared" si="12"/>
        <v>0</v>
      </c>
      <c r="P49" s="9">
        <f t="shared" si="13"/>
        <v>0</v>
      </c>
      <c r="Q49" s="9">
        <f t="shared" si="14"/>
        <v>0</v>
      </c>
      <c r="R49" s="9">
        <f t="shared" si="15"/>
        <v>0</v>
      </c>
      <c r="S49" s="9">
        <f t="shared" si="16"/>
        <v>0</v>
      </c>
      <c r="T49" s="9">
        <f t="shared" si="21"/>
        <v>0</v>
      </c>
    </row>
    <row r="50" spans="1:20" x14ac:dyDescent="0.25">
      <c r="A50">
        <v>1</v>
      </c>
      <c r="B50" s="23">
        <v>46194</v>
      </c>
      <c r="C50" s="24">
        <v>0.75</v>
      </c>
      <c r="D50" s="25" t="s">
        <v>9</v>
      </c>
      <c r="E50" s="25" t="s">
        <v>59</v>
      </c>
      <c r="F50" s="18"/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O50" s="9">
        <f t="shared" si="12"/>
        <v>0</v>
      </c>
      <c r="P50" s="9">
        <f t="shared" si="13"/>
        <v>0</v>
      </c>
      <c r="Q50" s="9">
        <f t="shared" si="14"/>
        <v>0</v>
      </c>
      <c r="R50" s="9">
        <f t="shared" si="15"/>
        <v>0</v>
      </c>
      <c r="S50" s="9">
        <f t="shared" si="16"/>
        <v>0</v>
      </c>
      <c r="T50" s="9">
        <f t="shared" si="21"/>
        <v>0</v>
      </c>
    </row>
    <row r="51" spans="1:20" x14ac:dyDescent="0.25">
      <c r="A51">
        <v>1</v>
      </c>
      <c r="B51" s="23">
        <v>46194</v>
      </c>
      <c r="C51" s="24">
        <v>0.875</v>
      </c>
      <c r="D51" s="25" t="s">
        <v>2</v>
      </c>
      <c r="E51" s="25" t="s">
        <v>61</v>
      </c>
      <c r="F51" s="18"/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O51" s="9">
        <f t="shared" si="12"/>
        <v>0</v>
      </c>
      <c r="P51" s="9">
        <f t="shared" si="13"/>
        <v>0</v>
      </c>
      <c r="Q51" s="9">
        <f t="shared" si="14"/>
        <v>0</v>
      </c>
      <c r="R51" s="9">
        <f t="shared" si="15"/>
        <v>0</v>
      </c>
      <c r="S51" s="9">
        <f t="shared" si="16"/>
        <v>0</v>
      </c>
      <c r="T51" s="9">
        <f t="shared" si="21"/>
        <v>0</v>
      </c>
    </row>
    <row r="52" spans="1:20" x14ac:dyDescent="0.25">
      <c r="A52">
        <v>1</v>
      </c>
      <c r="B52" s="23">
        <v>46195</v>
      </c>
      <c r="C52" s="24">
        <v>0</v>
      </c>
      <c r="D52" s="25" t="s">
        <v>60</v>
      </c>
      <c r="E52" s="25" t="s">
        <v>57</v>
      </c>
      <c r="F52" s="18"/>
      <c r="H52" s="9">
        <v>1</v>
      </c>
      <c r="I52" s="9">
        <v>1</v>
      </c>
      <c r="J52" s="9">
        <v>1</v>
      </c>
      <c r="K52" s="9">
        <v>2</v>
      </c>
      <c r="L52" s="9">
        <v>1</v>
      </c>
      <c r="M52" s="9">
        <v>1</v>
      </c>
      <c r="O52" s="9">
        <f t="shared" si="12"/>
        <v>0</v>
      </c>
      <c r="P52" s="9">
        <f t="shared" si="13"/>
        <v>0</v>
      </c>
      <c r="Q52" s="9">
        <f t="shared" si="14"/>
        <v>0</v>
      </c>
      <c r="R52" s="9">
        <f t="shared" si="15"/>
        <v>0</v>
      </c>
      <c r="S52" s="9">
        <f t="shared" si="16"/>
        <v>0</v>
      </c>
      <c r="T52" s="9">
        <f t="shared" si="21"/>
        <v>0</v>
      </c>
    </row>
    <row r="53" spans="1:20" x14ac:dyDescent="0.25">
      <c r="A53">
        <v>1</v>
      </c>
      <c r="B53" s="23">
        <v>46195</v>
      </c>
      <c r="C53" s="24">
        <v>0.125</v>
      </c>
      <c r="D53" s="25" t="s">
        <v>62</v>
      </c>
      <c r="E53" s="25" t="s">
        <v>58</v>
      </c>
      <c r="F53" s="18"/>
      <c r="H53" s="9">
        <v>1</v>
      </c>
      <c r="I53" s="9">
        <v>3</v>
      </c>
      <c r="J53" s="9">
        <v>3</v>
      </c>
      <c r="K53" s="9">
        <v>3</v>
      </c>
      <c r="L53" s="9">
        <v>3</v>
      </c>
      <c r="M53" s="9">
        <v>2</v>
      </c>
      <c r="O53" s="9">
        <f t="shared" si="12"/>
        <v>0</v>
      </c>
      <c r="P53" s="9">
        <f t="shared" si="13"/>
        <v>0</v>
      </c>
      <c r="Q53" s="9">
        <f t="shared" si="14"/>
        <v>0</v>
      </c>
      <c r="R53" s="9">
        <f t="shared" si="15"/>
        <v>0</v>
      </c>
      <c r="S53" s="9">
        <f t="shared" si="16"/>
        <v>0</v>
      </c>
      <c r="T53" s="9">
        <f t="shared" si="21"/>
        <v>0</v>
      </c>
    </row>
    <row r="54" spans="1:20" x14ac:dyDescent="0.25">
      <c r="A54">
        <v>1</v>
      </c>
      <c r="B54" s="23">
        <v>46195</v>
      </c>
      <c r="C54" s="24">
        <v>0.79166666666666663</v>
      </c>
      <c r="D54" s="25" t="s">
        <v>66</v>
      </c>
      <c r="E54" s="25" t="s">
        <v>5</v>
      </c>
      <c r="F54" s="18"/>
      <c r="H54" s="9">
        <v>1</v>
      </c>
      <c r="I54" s="9">
        <v>1</v>
      </c>
      <c r="J54" s="9">
        <v>1</v>
      </c>
      <c r="K54" s="9">
        <v>1</v>
      </c>
      <c r="L54" s="9">
        <v>1</v>
      </c>
      <c r="M54" s="9">
        <v>2</v>
      </c>
      <c r="O54" s="9">
        <f t="shared" si="12"/>
        <v>0</v>
      </c>
      <c r="P54" s="9">
        <f t="shared" si="13"/>
        <v>0</v>
      </c>
      <c r="Q54" s="9">
        <f t="shared" si="14"/>
        <v>0</v>
      </c>
      <c r="R54" s="9">
        <f t="shared" si="15"/>
        <v>0</v>
      </c>
      <c r="S54" s="9">
        <f t="shared" si="16"/>
        <v>0</v>
      </c>
      <c r="T54" s="9">
        <f t="shared" si="21"/>
        <v>0</v>
      </c>
    </row>
    <row r="55" spans="1:20" x14ac:dyDescent="0.25">
      <c r="A55">
        <v>1</v>
      </c>
      <c r="B55" s="23">
        <v>46195</v>
      </c>
      <c r="C55" s="24">
        <v>0.95833333333333337</v>
      </c>
      <c r="D55" s="25" t="s">
        <v>12</v>
      </c>
      <c r="E55" s="25" t="s">
        <v>64</v>
      </c>
      <c r="F55" s="18"/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9">
        <v>1</v>
      </c>
      <c r="O55" s="9">
        <f t="shared" si="12"/>
        <v>0</v>
      </c>
      <c r="P55" s="9">
        <f t="shared" si="13"/>
        <v>0</v>
      </c>
      <c r="Q55" s="9">
        <f t="shared" si="14"/>
        <v>0</v>
      </c>
      <c r="R55" s="9">
        <f t="shared" si="15"/>
        <v>0</v>
      </c>
      <c r="S55" s="9">
        <f t="shared" si="16"/>
        <v>0</v>
      </c>
      <c r="T55" s="9">
        <f t="shared" si="21"/>
        <v>0</v>
      </c>
    </row>
    <row r="56" spans="1:20" x14ac:dyDescent="0.25">
      <c r="A56">
        <v>1</v>
      </c>
      <c r="B56" s="23">
        <v>46196</v>
      </c>
      <c r="C56" s="24">
        <v>8.3333333333333329E-2</v>
      </c>
      <c r="D56" s="25" t="s">
        <v>65</v>
      </c>
      <c r="E56" s="25" t="s">
        <v>63</v>
      </c>
      <c r="F56" s="18"/>
      <c r="H56" s="9">
        <v>1</v>
      </c>
      <c r="I56" s="9">
        <v>2</v>
      </c>
      <c r="J56" s="9">
        <v>3</v>
      </c>
      <c r="K56" s="9">
        <v>1</v>
      </c>
      <c r="L56" s="9">
        <v>2</v>
      </c>
      <c r="M56" s="9">
        <v>1</v>
      </c>
      <c r="O56" s="9">
        <f t="shared" si="12"/>
        <v>0</v>
      </c>
      <c r="P56" s="9">
        <f t="shared" si="13"/>
        <v>0</v>
      </c>
      <c r="Q56" s="9">
        <f t="shared" si="14"/>
        <v>0</v>
      </c>
      <c r="R56" s="9">
        <f t="shared" si="15"/>
        <v>0</v>
      </c>
      <c r="S56" s="9">
        <f t="shared" si="16"/>
        <v>0</v>
      </c>
      <c r="T56" s="9">
        <f t="shared" si="21"/>
        <v>0</v>
      </c>
    </row>
    <row r="57" spans="1:20" x14ac:dyDescent="0.25">
      <c r="A57">
        <v>1</v>
      </c>
      <c r="B57" s="23">
        <v>46196</v>
      </c>
      <c r="C57" s="24">
        <v>0.20833333333333334</v>
      </c>
      <c r="D57" s="25" t="s">
        <v>68</v>
      </c>
      <c r="E57" s="25" t="s">
        <v>67</v>
      </c>
      <c r="F57" s="18"/>
      <c r="H57" s="9">
        <v>3</v>
      </c>
      <c r="I57" s="9">
        <v>3</v>
      </c>
      <c r="J57" s="9">
        <v>3</v>
      </c>
      <c r="K57" s="9">
        <v>3</v>
      </c>
      <c r="L57" s="9">
        <v>3</v>
      </c>
      <c r="M57" s="9">
        <v>2</v>
      </c>
      <c r="O57" s="9">
        <f t="shared" si="12"/>
        <v>0</v>
      </c>
      <c r="P57" s="9">
        <f t="shared" si="13"/>
        <v>0</v>
      </c>
      <c r="Q57" s="9">
        <f t="shared" si="14"/>
        <v>0</v>
      </c>
      <c r="R57" s="9">
        <f t="shared" si="15"/>
        <v>0</v>
      </c>
      <c r="S57" s="9">
        <f t="shared" si="16"/>
        <v>0</v>
      </c>
      <c r="T57" s="9">
        <f t="shared" si="21"/>
        <v>0</v>
      </c>
    </row>
    <row r="58" spans="1:20" x14ac:dyDescent="0.25">
      <c r="A58">
        <v>1</v>
      </c>
      <c r="B58" s="23">
        <v>46196</v>
      </c>
      <c r="C58" s="24">
        <v>0.79166666666666663</v>
      </c>
      <c r="D58" s="25" t="s">
        <v>11</v>
      </c>
      <c r="E58" s="25" t="s">
        <v>72</v>
      </c>
      <c r="F58" s="18"/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O58" s="9">
        <f>IF($F58="",0,IF($F58=H59,1,0))</f>
        <v>0</v>
      </c>
      <c r="P58" s="9">
        <f t="shared" si="13"/>
        <v>0</v>
      </c>
      <c r="Q58" s="9">
        <f t="shared" si="14"/>
        <v>0</v>
      </c>
      <c r="R58" s="9">
        <f t="shared" si="15"/>
        <v>0</v>
      </c>
      <c r="S58" s="9">
        <f t="shared" si="16"/>
        <v>0</v>
      </c>
      <c r="T58" s="9">
        <f t="shared" si="21"/>
        <v>0</v>
      </c>
    </row>
    <row r="59" spans="1:20" x14ac:dyDescent="0.25">
      <c r="A59">
        <v>1</v>
      </c>
      <c r="B59" s="23">
        <v>46196</v>
      </c>
      <c r="C59" s="24">
        <v>0.91666666666666663</v>
      </c>
      <c r="D59" s="25" t="s">
        <v>3</v>
      </c>
      <c r="E59" s="25" t="s">
        <v>70</v>
      </c>
      <c r="F59" s="18"/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O59" s="9">
        <f>IF($F59="",0,IF($F59=#REF!,1,0))</f>
        <v>0</v>
      </c>
      <c r="P59" s="9">
        <f t="shared" si="13"/>
        <v>0</v>
      </c>
      <c r="Q59" s="9">
        <f t="shared" si="14"/>
        <v>0</v>
      </c>
      <c r="R59" s="9">
        <f t="shared" si="15"/>
        <v>0</v>
      </c>
      <c r="S59" s="9">
        <f t="shared" si="16"/>
        <v>0</v>
      </c>
      <c r="T59" s="9">
        <f t="shared" si="21"/>
        <v>0</v>
      </c>
    </row>
    <row r="60" spans="1:20" x14ac:dyDescent="0.25">
      <c r="A60">
        <v>1</v>
      </c>
      <c r="B60" s="23">
        <v>46197</v>
      </c>
      <c r="C60" s="24">
        <v>4.1666666666666664E-2</v>
      </c>
      <c r="D60" s="25" t="s">
        <v>71</v>
      </c>
      <c r="E60" s="25" t="s">
        <v>4</v>
      </c>
      <c r="F60" s="18"/>
      <c r="H60" s="9">
        <v>3</v>
      </c>
      <c r="I60" s="9">
        <v>3</v>
      </c>
      <c r="J60" s="9">
        <v>3</v>
      </c>
      <c r="K60" s="9">
        <v>3</v>
      </c>
      <c r="L60" s="9">
        <v>3</v>
      </c>
      <c r="M60" s="9">
        <v>3</v>
      </c>
      <c r="O60" s="9">
        <f t="shared" si="12"/>
        <v>0</v>
      </c>
      <c r="P60" s="9">
        <f t="shared" si="13"/>
        <v>0</v>
      </c>
      <c r="Q60" s="9">
        <f t="shared" si="14"/>
        <v>0</v>
      </c>
      <c r="R60" s="9">
        <f t="shared" si="15"/>
        <v>0</v>
      </c>
      <c r="S60" s="9">
        <f t="shared" si="16"/>
        <v>0</v>
      </c>
      <c r="T60" s="9">
        <f t="shared" si="21"/>
        <v>0</v>
      </c>
    </row>
    <row r="61" spans="1:20" x14ac:dyDescent="0.25">
      <c r="A61">
        <v>1</v>
      </c>
      <c r="B61" s="23">
        <v>46197</v>
      </c>
      <c r="C61" s="24">
        <v>0.16666666666666666</v>
      </c>
      <c r="D61" s="25" t="s">
        <v>73</v>
      </c>
      <c r="E61" s="25" t="s">
        <v>69</v>
      </c>
      <c r="F61" s="18"/>
      <c r="H61" s="9">
        <v>2</v>
      </c>
      <c r="I61" s="9">
        <v>1</v>
      </c>
      <c r="J61" s="9">
        <v>1</v>
      </c>
      <c r="K61" s="9">
        <v>3</v>
      </c>
      <c r="L61" s="9">
        <v>2</v>
      </c>
      <c r="M61" s="9">
        <v>1</v>
      </c>
      <c r="O61" s="9">
        <f t="shared" si="12"/>
        <v>0</v>
      </c>
      <c r="P61" s="9">
        <f t="shared" si="13"/>
        <v>0</v>
      </c>
      <c r="Q61" s="9">
        <f t="shared" si="14"/>
        <v>0</v>
      </c>
      <c r="R61" s="9">
        <f t="shared" si="15"/>
        <v>0</v>
      </c>
      <c r="S61" s="9">
        <f t="shared" si="16"/>
        <v>0</v>
      </c>
      <c r="T61" s="9">
        <f t="shared" si="21"/>
        <v>0</v>
      </c>
    </row>
    <row r="62" spans="1:20" x14ac:dyDescent="0.25">
      <c r="A62">
        <v>1</v>
      </c>
      <c r="B62" s="23">
        <v>46197</v>
      </c>
      <c r="C62" s="24">
        <v>0.875</v>
      </c>
      <c r="D62" s="25" t="s">
        <v>1</v>
      </c>
      <c r="E62" s="25" t="s">
        <v>44</v>
      </c>
      <c r="F62" s="18"/>
      <c r="H62" s="9">
        <v>3</v>
      </c>
      <c r="I62" s="9">
        <v>1</v>
      </c>
      <c r="J62" s="9">
        <v>1</v>
      </c>
      <c r="K62" s="9">
        <v>1</v>
      </c>
      <c r="L62" s="9">
        <v>1</v>
      </c>
      <c r="M62" s="9">
        <v>2</v>
      </c>
      <c r="O62" s="9">
        <f t="shared" si="12"/>
        <v>0</v>
      </c>
      <c r="P62" s="9">
        <f t="shared" si="13"/>
        <v>0</v>
      </c>
      <c r="Q62" s="9">
        <f t="shared" si="14"/>
        <v>0</v>
      </c>
      <c r="R62" s="9">
        <f t="shared" si="15"/>
        <v>0</v>
      </c>
      <c r="S62" s="9">
        <f t="shared" si="16"/>
        <v>0</v>
      </c>
      <c r="T62" s="9">
        <f t="shared" si="21"/>
        <v>0</v>
      </c>
    </row>
    <row r="63" spans="1:20" x14ac:dyDescent="0.25">
      <c r="A63">
        <v>1</v>
      </c>
      <c r="B63" s="23">
        <v>46197</v>
      </c>
      <c r="C63" s="24">
        <v>0.875</v>
      </c>
      <c r="D63" s="25" t="s">
        <v>77</v>
      </c>
      <c r="E63" s="25" t="s">
        <v>47</v>
      </c>
      <c r="F63" s="18"/>
      <c r="H63" s="9">
        <v>2</v>
      </c>
      <c r="I63" s="9">
        <v>1</v>
      </c>
      <c r="J63" s="9">
        <v>1</v>
      </c>
      <c r="K63" s="9">
        <v>3</v>
      </c>
      <c r="L63" s="9">
        <v>2</v>
      </c>
      <c r="M63" s="9">
        <v>2</v>
      </c>
      <c r="O63" s="9">
        <f t="shared" si="12"/>
        <v>0</v>
      </c>
      <c r="P63" s="9">
        <f t="shared" si="13"/>
        <v>0</v>
      </c>
      <c r="Q63" s="9">
        <f t="shared" si="14"/>
        <v>0</v>
      </c>
      <c r="R63" s="9">
        <f t="shared" si="15"/>
        <v>0</v>
      </c>
      <c r="S63" s="9">
        <f t="shared" si="16"/>
        <v>0</v>
      </c>
      <c r="T63" s="9">
        <f t="shared" si="21"/>
        <v>0</v>
      </c>
    </row>
    <row r="64" spans="1:20" x14ac:dyDescent="0.25">
      <c r="A64">
        <v>1</v>
      </c>
      <c r="B64" s="23">
        <v>46198</v>
      </c>
      <c r="C64" s="24">
        <v>0</v>
      </c>
      <c r="D64" s="25" t="s">
        <v>7</v>
      </c>
      <c r="E64" s="25" t="s">
        <v>48</v>
      </c>
      <c r="F64" s="18"/>
      <c r="H64" s="9">
        <v>3</v>
      </c>
      <c r="I64" s="9">
        <v>3</v>
      </c>
      <c r="J64" s="9">
        <v>3</v>
      </c>
      <c r="K64" s="9">
        <v>3</v>
      </c>
      <c r="L64" s="9">
        <v>3</v>
      </c>
      <c r="M64" s="9">
        <v>3</v>
      </c>
      <c r="O64" s="9">
        <f t="shared" si="12"/>
        <v>0</v>
      </c>
      <c r="P64" s="9">
        <f t="shared" si="13"/>
        <v>0</v>
      </c>
      <c r="Q64" s="9">
        <f t="shared" si="14"/>
        <v>0</v>
      </c>
      <c r="R64" s="9">
        <f t="shared" si="15"/>
        <v>0</v>
      </c>
      <c r="S64" s="9">
        <f t="shared" si="16"/>
        <v>0</v>
      </c>
      <c r="T64" s="9">
        <f t="shared" si="21"/>
        <v>0</v>
      </c>
    </row>
    <row r="65" spans="1:20" x14ac:dyDescent="0.25">
      <c r="A65">
        <v>1</v>
      </c>
      <c r="B65" s="23">
        <v>46198</v>
      </c>
      <c r="C65" s="24">
        <v>0</v>
      </c>
      <c r="D65" s="25" t="s">
        <v>49</v>
      </c>
      <c r="E65" s="25" t="s">
        <v>50</v>
      </c>
      <c r="F65" s="18"/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O65" s="9">
        <f t="shared" si="12"/>
        <v>0</v>
      </c>
      <c r="P65" s="9">
        <f t="shared" si="13"/>
        <v>0</v>
      </c>
      <c r="Q65" s="9">
        <f t="shared" si="14"/>
        <v>0</v>
      </c>
      <c r="R65" s="9">
        <f t="shared" si="15"/>
        <v>0</v>
      </c>
      <c r="S65" s="9">
        <f t="shared" si="16"/>
        <v>0</v>
      </c>
      <c r="T65" s="9">
        <f t="shared" si="21"/>
        <v>0</v>
      </c>
    </row>
    <row r="66" spans="1:20" x14ac:dyDescent="0.25">
      <c r="A66">
        <v>1</v>
      </c>
      <c r="B66" s="23">
        <v>46198</v>
      </c>
      <c r="C66" s="24">
        <v>0.125</v>
      </c>
      <c r="D66" s="25" t="s">
        <v>42</v>
      </c>
      <c r="E66" s="25" t="s">
        <v>43</v>
      </c>
      <c r="F66" s="18"/>
      <c r="H66" s="9">
        <v>3</v>
      </c>
      <c r="I66" s="9">
        <v>3</v>
      </c>
      <c r="J66" s="9">
        <v>3</v>
      </c>
      <c r="K66" s="9">
        <v>3</v>
      </c>
      <c r="L66" s="9">
        <v>3</v>
      </c>
      <c r="M66" s="9">
        <v>3</v>
      </c>
      <c r="O66" s="9">
        <f t="shared" si="12"/>
        <v>0</v>
      </c>
      <c r="P66" s="9">
        <f t="shared" si="13"/>
        <v>0</v>
      </c>
      <c r="Q66" s="9">
        <f t="shared" si="14"/>
        <v>0</v>
      </c>
      <c r="R66" s="9">
        <f t="shared" si="15"/>
        <v>0</v>
      </c>
      <c r="S66" s="9">
        <f t="shared" si="16"/>
        <v>0</v>
      </c>
      <c r="T66" s="9">
        <f t="shared" si="21"/>
        <v>0</v>
      </c>
    </row>
    <row r="67" spans="1:20" x14ac:dyDescent="0.25">
      <c r="A67">
        <v>1</v>
      </c>
      <c r="B67" s="23">
        <v>46198</v>
      </c>
      <c r="C67" s="24">
        <v>0.125</v>
      </c>
      <c r="D67" s="25" t="s">
        <v>8</v>
      </c>
      <c r="E67" s="25" t="s">
        <v>41</v>
      </c>
      <c r="F67" s="18"/>
      <c r="H67" s="9">
        <v>3</v>
      </c>
      <c r="I67" s="9">
        <v>2</v>
      </c>
      <c r="J67" s="9">
        <v>3</v>
      </c>
      <c r="K67" s="9">
        <v>1</v>
      </c>
      <c r="L67" s="9">
        <v>2</v>
      </c>
      <c r="M67" s="9">
        <v>1</v>
      </c>
      <c r="O67" s="9">
        <f>IF($F67="",0,IF($F67=H68,1,0))</f>
        <v>0</v>
      </c>
      <c r="P67" s="9">
        <f t="shared" si="13"/>
        <v>0</v>
      </c>
      <c r="Q67" s="9">
        <f t="shared" si="14"/>
        <v>0</v>
      </c>
      <c r="R67" s="9">
        <f t="shared" si="15"/>
        <v>0</v>
      </c>
      <c r="S67" s="9">
        <f t="shared" si="16"/>
        <v>0</v>
      </c>
      <c r="T67" s="9">
        <f t="shared" si="21"/>
        <v>0</v>
      </c>
    </row>
    <row r="68" spans="1:20" x14ac:dyDescent="0.25">
      <c r="A68">
        <v>1</v>
      </c>
      <c r="B68" s="23">
        <v>46198</v>
      </c>
      <c r="C68" s="24">
        <v>0.91666666666666663</v>
      </c>
      <c r="D68" s="25" t="s">
        <v>55</v>
      </c>
      <c r="E68" s="25" t="s">
        <v>13</v>
      </c>
      <c r="F68" s="18"/>
      <c r="H68" s="9">
        <v>3</v>
      </c>
      <c r="I68" s="9">
        <v>3</v>
      </c>
      <c r="J68" s="9">
        <v>3</v>
      </c>
      <c r="K68" s="9">
        <v>3</v>
      </c>
      <c r="L68" s="9">
        <v>3</v>
      </c>
      <c r="M68" s="9">
        <v>3</v>
      </c>
      <c r="O68" s="9">
        <f>IF($F68="",0,IF($F68=#REF!,1,0))</f>
        <v>0</v>
      </c>
      <c r="P68" s="9">
        <f t="shared" si="13"/>
        <v>0</v>
      </c>
      <c r="Q68" s="9">
        <f t="shared" si="14"/>
        <v>0</v>
      </c>
      <c r="R68" s="9">
        <f t="shared" si="15"/>
        <v>0</v>
      </c>
      <c r="S68" s="9">
        <f t="shared" si="16"/>
        <v>0</v>
      </c>
      <c r="T68" s="9">
        <f t="shared" si="21"/>
        <v>0</v>
      </c>
    </row>
    <row r="69" spans="1:20" x14ac:dyDescent="0.25">
      <c r="A69">
        <v>1</v>
      </c>
      <c r="B69" s="23">
        <v>46198</v>
      </c>
      <c r="C69" s="24">
        <v>0.91666666666666663</v>
      </c>
      <c r="D69" s="25" t="s">
        <v>52</v>
      </c>
      <c r="E69" s="25" t="s">
        <v>54</v>
      </c>
      <c r="F69" s="18"/>
      <c r="H69" s="9">
        <v>1</v>
      </c>
      <c r="I69" s="9">
        <v>1</v>
      </c>
      <c r="J69" s="9">
        <v>2</v>
      </c>
      <c r="K69" s="9">
        <v>1</v>
      </c>
      <c r="L69" s="9">
        <v>3</v>
      </c>
      <c r="M69" s="9">
        <v>3</v>
      </c>
      <c r="O69" s="9">
        <f t="shared" si="12"/>
        <v>0</v>
      </c>
      <c r="P69" s="9">
        <f t="shared" si="13"/>
        <v>0</v>
      </c>
      <c r="Q69" s="9">
        <f t="shared" si="14"/>
        <v>0</v>
      </c>
      <c r="R69" s="9">
        <f t="shared" si="15"/>
        <v>0</v>
      </c>
      <c r="S69" s="9">
        <f t="shared" si="16"/>
        <v>0</v>
      </c>
      <c r="T69" s="9">
        <f t="shared" si="21"/>
        <v>0</v>
      </c>
    </row>
    <row r="70" spans="1:20" x14ac:dyDescent="0.25">
      <c r="A70" s="6">
        <v>1</v>
      </c>
      <c r="B70" s="26">
        <v>46199</v>
      </c>
      <c r="C70" s="27">
        <v>4.1666666666666664E-2</v>
      </c>
      <c r="D70" s="28" t="s">
        <v>56</v>
      </c>
      <c r="E70" s="28" t="s">
        <v>6</v>
      </c>
      <c r="F70" s="18"/>
      <c r="H70" s="9">
        <v>3</v>
      </c>
      <c r="I70" s="9">
        <v>3</v>
      </c>
      <c r="J70" s="9">
        <v>3</v>
      </c>
      <c r="K70" s="9">
        <v>3</v>
      </c>
      <c r="L70" s="9">
        <v>3</v>
      </c>
      <c r="M70" s="9">
        <v>3</v>
      </c>
      <c r="O70" s="16">
        <f>IF($F70="",0,IF($F70=H70,2,0))</f>
        <v>0</v>
      </c>
      <c r="P70" s="16">
        <f t="shared" ref="P70:S70" si="22">IF($F70="",0,IF($F70=I70,2,0))</f>
        <v>0</v>
      </c>
      <c r="Q70" s="16">
        <f t="shared" si="22"/>
        <v>0</v>
      </c>
      <c r="R70" s="16">
        <f t="shared" si="22"/>
        <v>0</v>
      </c>
      <c r="S70" s="16">
        <f t="shared" si="22"/>
        <v>0</v>
      </c>
      <c r="T70" s="16">
        <f>IF($F70="",0,IF($F70=L70,2,0))</f>
        <v>0</v>
      </c>
    </row>
    <row r="71" spans="1:20" x14ac:dyDescent="0.25">
      <c r="A71">
        <v>1</v>
      </c>
      <c r="B71" s="23">
        <v>46199</v>
      </c>
      <c r="C71" s="24">
        <v>4.1666666666666664E-2</v>
      </c>
      <c r="D71" s="25" t="s">
        <v>53</v>
      </c>
      <c r="E71" s="25" t="s">
        <v>10</v>
      </c>
      <c r="F71" s="18"/>
      <c r="H71" s="9">
        <v>1</v>
      </c>
      <c r="I71" s="9">
        <v>2</v>
      </c>
      <c r="J71" s="9">
        <v>1</v>
      </c>
      <c r="K71" s="9">
        <v>1</v>
      </c>
      <c r="L71" s="9">
        <v>1</v>
      </c>
      <c r="M71" s="9">
        <v>3</v>
      </c>
      <c r="O71" s="9">
        <f t="shared" si="12"/>
        <v>0</v>
      </c>
      <c r="P71" s="9">
        <f t="shared" si="13"/>
        <v>0</v>
      </c>
      <c r="Q71" s="9">
        <f t="shared" si="14"/>
        <v>0</v>
      </c>
      <c r="R71" s="9">
        <f t="shared" si="15"/>
        <v>0</v>
      </c>
      <c r="S71" s="9">
        <f t="shared" si="16"/>
        <v>0</v>
      </c>
      <c r="T71" s="9">
        <f t="shared" ref="T71:T78" si="23">IF($F71="",0,IF($F71=M71,1,0))</f>
        <v>0</v>
      </c>
    </row>
    <row r="72" spans="1:20" x14ac:dyDescent="0.25">
      <c r="A72">
        <v>1</v>
      </c>
      <c r="B72" s="23">
        <v>46199</v>
      </c>
      <c r="C72" s="24">
        <v>0.16666666666666666</v>
      </c>
      <c r="D72" s="25" t="s">
        <v>46</v>
      </c>
      <c r="E72" s="25" t="s">
        <v>51</v>
      </c>
      <c r="F72" s="18"/>
      <c r="H72" s="9">
        <v>1</v>
      </c>
      <c r="I72" s="9">
        <v>1</v>
      </c>
      <c r="J72" s="9">
        <v>3</v>
      </c>
      <c r="K72" s="9">
        <v>2</v>
      </c>
      <c r="L72" s="9">
        <v>2</v>
      </c>
      <c r="M72" s="9">
        <v>2</v>
      </c>
      <c r="O72" s="9">
        <f t="shared" si="12"/>
        <v>0</v>
      </c>
      <c r="P72" s="9">
        <f t="shared" si="13"/>
        <v>0</v>
      </c>
      <c r="Q72" s="9">
        <f t="shared" si="14"/>
        <v>0</v>
      </c>
      <c r="R72" s="9">
        <f t="shared" si="15"/>
        <v>0</v>
      </c>
      <c r="S72" s="9">
        <f t="shared" si="16"/>
        <v>0</v>
      </c>
      <c r="T72" s="9">
        <f t="shared" si="23"/>
        <v>0</v>
      </c>
    </row>
    <row r="73" spans="1:20" x14ac:dyDescent="0.25">
      <c r="A73">
        <v>1</v>
      </c>
      <c r="B73" s="23">
        <v>46199</v>
      </c>
      <c r="C73" s="24">
        <v>0.16666666666666666</v>
      </c>
      <c r="D73" s="25" t="s">
        <v>0</v>
      </c>
      <c r="E73" s="25" t="s">
        <v>45</v>
      </c>
      <c r="F73" s="18"/>
      <c r="H73" s="9">
        <v>1</v>
      </c>
      <c r="I73" s="9">
        <v>1</v>
      </c>
      <c r="J73" s="9">
        <v>1</v>
      </c>
      <c r="K73" s="9">
        <v>3</v>
      </c>
      <c r="L73" s="9">
        <v>2</v>
      </c>
      <c r="M73" s="9">
        <v>1</v>
      </c>
      <c r="O73" s="9">
        <f t="shared" si="12"/>
        <v>0</v>
      </c>
      <c r="P73" s="9">
        <f t="shared" si="13"/>
        <v>0</v>
      </c>
      <c r="Q73" s="9">
        <f t="shared" si="14"/>
        <v>0</v>
      </c>
      <c r="R73" s="9">
        <f t="shared" si="15"/>
        <v>0</v>
      </c>
      <c r="S73" s="9">
        <f t="shared" si="16"/>
        <v>0</v>
      </c>
      <c r="T73" s="9">
        <f t="shared" si="23"/>
        <v>0</v>
      </c>
    </row>
    <row r="74" spans="1:20" x14ac:dyDescent="0.25">
      <c r="A74">
        <v>1</v>
      </c>
      <c r="B74" s="23">
        <v>46199</v>
      </c>
      <c r="C74" s="24">
        <v>0.875</v>
      </c>
      <c r="D74" s="25" t="s">
        <v>65</v>
      </c>
      <c r="E74" s="25" t="s">
        <v>12</v>
      </c>
      <c r="F74" s="18"/>
      <c r="H74" s="9">
        <v>3</v>
      </c>
      <c r="I74" s="9">
        <v>3</v>
      </c>
      <c r="J74" s="9">
        <v>3</v>
      </c>
      <c r="K74" s="9">
        <v>3</v>
      </c>
      <c r="L74" s="9">
        <v>3</v>
      </c>
      <c r="M74" s="9">
        <v>3</v>
      </c>
      <c r="O74" s="9">
        <f t="shared" si="12"/>
        <v>0</v>
      </c>
      <c r="P74" s="9">
        <f t="shared" si="13"/>
        <v>0</v>
      </c>
      <c r="Q74" s="9">
        <f t="shared" si="14"/>
        <v>0</v>
      </c>
      <c r="R74" s="9">
        <f t="shared" si="15"/>
        <v>0</v>
      </c>
      <c r="S74" s="9">
        <f t="shared" si="16"/>
        <v>0</v>
      </c>
      <c r="T74" s="9">
        <f t="shared" si="23"/>
        <v>0</v>
      </c>
    </row>
    <row r="75" spans="1:20" x14ac:dyDescent="0.25">
      <c r="A75">
        <v>1</v>
      </c>
      <c r="B75" s="23">
        <v>46199</v>
      </c>
      <c r="C75" s="24">
        <v>0.875</v>
      </c>
      <c r="D75" s="25" t="s">
        <v>63</v>
      </c>
      <c r="E75" s="25" t="s">
        <v>64</v>
      </c>
      <c r="F75" s="18"/>
      <c r="H75" s="9">
        <v>3</v>
      </c>
      <c r="I75" s="9">
        <v>1</v>
      </c>
      <c r="J75" s="9">
        <v>1</v>
      </c>
      <c r="K75" s="9">
        <v>3</v>
      </c>
      <c r="L75" s="9">
        <v>1</v>
      </c>
      <c r="M75" s="9">
        <v>2</v>
      </c>
      <c r="O75" s="9">
        <f t="shared" si="12"/>
        <v>0</v>
      </c>
      <c r="P75" s="9">
        <f t="shared" si="13"/>
        <v>0</v>
      </c>
      <c r="Q75" s="9">
        <f t="shared" si="14"/>
        <v>0</v>
      </c>
      <c r="R75" s="9">
        <f t="shared" si="15"/>
        <v>0</v>
      </c>
      <c r="S75" s="9">
        <f t="shared" si="16"/>
        <v>0</v>
      </c>
      <c r="T75" s="9">
        <f t="shared" si="23"/>
        <v>0</v>
      </c>
    </row>
    <row r="76" spans="1:20" x14ac:dyDescent="0.25">
      <c r="A76">
        <v>1</v>
      </c>
      <c r="B76" s="23">
        <v>46200</v>
      </c>
      <c r="C76" s="24">
        <v>8.3333333333333329E-2</v>
      </c>
      <c r="D76" s="25" t="s">
        <v>60</v>
      </c>
      <c r="E76" s="25" t="s">
        <v>9</v>
      </c>
      <c r="F76" s="18"/>
      <c r="H76" s="9">
        <v>3</v>
      </c>
      <c r="I76" s="9">
        <v>3</v>
      </c>
      <c r="J76" s="9">
        <v>2</v>
      </c>
      <c r="K76" s="9">
        <v>3</v>
      </c>
      <c r="L76" s="9">
        <v>3</v>
      </c>
      <c r="M76" s="9">
        <v>3</v>
      </c>
      <c r="O76" s="9">
        <f t="shared" si="12"/>
        <v>0</v>
      </c>
      <c r="P76" s="9">
        <f t="shared" si="13"/>
        <v>0</v>
      </c>
      <c r="Q76" s="9">
        <f t="shared" si="14"/>
        <v>0</v>
      </c>
      <c r="R76" s="9">
        <f t="shared" si="15"/>
        <v>0</v>
      </c>
      <c r="S76" s="9">
        <f t="shared" si="16"/>
        <v>0</v>
      </c>
      <c r="T76" s="9">
        <f t="shared" si="23"/>
        <v>0</v>
      </c>
    </row>
    <row r="77" spans="1:20" x14ac:dyDescent="0.25">
      <c r="A77">
        <v>1</v>
      </c>
      <c r="B77" s="23">
        <v>46200</v>
      </c>
      <c r="C77" s="24">
        <v>8.3333333333333329E-2</v>
      </c>
      <c r="D77" s="25" t="s">
        <v>57</v>
      </c>
      <c r="E77" s="25" t="s">
        <v>59</v>
      </c>
      <c r="F77" s="18"/>
      <c r="H77" s="9">
        <v>3</v>
      </c>
      <c r="I77" s="9">
        <v>3</v>
      </c>
      <c r="J77" s="9">
        <v>1</v>
      </c>
      <c r="K77" s="9">
        <v>2</v>
      </c>
      <c r="L77" s="9">
        <v>2</v>
      </c>
      <c r="M77" s="9">
        <v>2</v>
      </c>
      <c r="O77" s="9">
        <f t="shared" si="12"/>
        <v>0</v>
      </c>
      <c r="P77" s="9">
        <f t="shared" si="13"/>
        <v>0</v>
      </c>
      <c r="Q77" s="9">
        <f t="shared" si="14"/>
        <v>0</v>
      </c>
      <c r="R77" s="9">
        <f t="shared" si="15"/>
        <v>0</v>
      </c>
      <c r="S77" s="9">
        <f t="shared" si="16"/>
        <v>0</v>
      </c>
      <c r="T77" s="9">
        <f t="shared" si="23"/>
        <v>0</v>
      </c>
    </row>
    <row r="78" spans="1:20" x14ac:dyDescent="0.25">
      <c r="A78">
        <v>1</v>
      </c>
      <c r="B78" s="23">
        <v>46200</v>
      </c>
      <c r="C78" s="24">
        <v>0.20833333333333334</v>
      </c>
      <c r="D78" s="25" t="s">
        <v>62</v>
      </c>
      <c r="E78" s="25" t="s">
        <v>2</v>
      </c>
      <c r="F78" s="18"/>
      <c r="H78" s="9">
        <v>3</v>
      </c>
      <c r="I78" s="9">
        <v>3</v>
      </c>
      <c r="J78" s="9">
        <v>3</v>
      </c>
      <c r="K78" s="9">
        <v>3</v>
      </c>
      <c r="L78" s="9">
        <v>3</v>
      </c>
      <c r="M78" s="9">
        <v>3</v>
      </c>
      <c r="O78" s="9">
        <f t="shared" si="12"/>
        <v>0</v>
      </c>
      <c r="P78" s="9">
        <f t="shared" si="13"/>
        <v>0</v>
      </c>
      <c r="Q78" s="9">
        <f t="shared" si="14"/>
        <v>0</v>
      </c>
      <c r="R78" s="9">
        <f t="shared" si="15"/>
        <v>0</v>
      </c>
      <c r="S78" s="9">
        <f t="shared" si="16"/>
        <v>0</v>
      </c>
      <c r="T78" s="9">
        <f t="shared" si="23"/>
        <v>0</v>
      </c>
    </row>
    <row r="79" spans="1:20" x14ac:dyDescent="0.25">
      <c r="A79">
        <v>1</v>
      </c>
      <c r="B79" s="23">
        <v>46200</v>
      </c>
      <c r="C79" s="24">
        <v>0.20833333333333334</v>
      </c>
      <c r="D79" s="25" t="s">
        <v>58</v>
      </c>
      <c r="E79" s="25" t="s">
        <v>61</v>
      </c>
      <c r="F79" s="18"/>
      <c r="H79" s="9">
        <v>3</v>
      </c>
      <c r="I79" s="9">
        <v>3</v>
      </c>
      <c r="J79" s="9">
        <v>1</v>
      </c>
      <c r="K79" s="9">
        <v>3</v>
      </c>
      <c r="L79" s="9">
        <v>2</v>
      </c>
      <c r="M79" s="9">
        <v>3</v>
      </c>
      <c r="O79" s="9">
        <f t="shared" ref="O79:O85" si="24">IF($F79="",0,IF($F79=H79,1,0))</f>
        <v>0</v>
      </c>
      <c r="P79" s="9">
        <f t="shared" ref="P79:P85" si="25">IF($F79="",0,IF($F79=I79,1,0))</f>
        <v>0</v>
      </c>
      <c r="Q79" s="9">
        <f t="shared" ref="Q79:Q85" si="26">IF($F79="",0,IF($F79=J79,1,0))</f>
        <v>0</v>
      </c>
      <c r="R79" s="9">
        <f t="shared" ref="R79:R85" si="27">IF($F79="",0,IF($F79=K79,1,0))</f>
        <v>0</v>
      </c>
      <c r="S79" s="9">
        <f t="shared" ref="S79:S85" si="28">IF($F79="",0,IF($F79=L79,1,0))</f>
        <v>0</v>
      </c>
      <c r="T79" s="9">
        <f t="shared" ref="T79:T85" si="29">IF($F79="",0,IF($F79=M79,1,0))</f>
        <v>0</v>
      </c>
    </row>
    <row r="80" spans="1:20" x14ac:dyDescent="0.25">
      <c r="A80">
        <v>1</v>
      </c>
      <c r="B80" s="23">
        <v>46200</v>
      </c>
      <c r="C80" s="24">
        <v>0.95833333333333337</v>
      </c>
      <c r="D80" s="25" t="s">
        <v>71</v>
      </c>
      <c r="E80" s="25" t="s">
        <v>3</v>
      </c>
      <c r="F80" s="18"/>
      <c r="H80" s="9">
        <v>3</v>
      </c>
      <c r="I80" s="9">
        <v>3</v>
      </c>
      <c r="J80" s="9">
        <v>3</v>
      </c>
      <c r="K80" s="9">
        <v>1</v>
      </c>
      <c r="L80" s="9">
        <v>3</v>
      </c>
      <c r="M80" s="9">
        <v>3</v>
      </c>
      <c r="O80" s="9">
        <f t="shared" si="24"/>
        <v>0</v>
      </c>
      <c r="P80" s="9">
        <f t="shared" si="25"/>
        <v>0</v>
      </c>
      <c r="Q80" s="9">
        <f t="shared" si="26"/>
        <v>0</v>
      </c>
      <c r="R80" s="9">
        <f t="shared" si="27"/>
        <v>0</v>
      </c>
      <c r="S80" s="9">
        <f t="shared" si="28"/>
        <v>0</v>
      </c>
      <c r="T80" s="9">
        <f t="shared" si="29"/>
        <v>0</v>
      </c>
    </row>
    <row r="81" spans="1:20" x14ac:dyDescent="0.25">
      <c r="A81">
        <v>1</v>
      </c>
      <c r="B81" s="23">
        <v>46200</v>
      </c>
      <c r="C81" s="24">
        <v>0.95833333333333337</v>
      </c>
      <c r="D81" s="25" t="s">
        <v>4</v>
      </c>
      <c r="E81" s="25" t="s">
        <v>70</v>
      </c>
      <c r="F81" s="18"/>
      <c r="H81" s="9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O81" s="9">
        <f t="shared" si="24"/>
        <v>0</v>
      </c>
      <c r="P81" s="9">
        <f t="shared" si="25"/>
        <v>0</v>
      </c>
      <c r="Q81" s="9">
        <f t="shared" si="26"/>
        <v>0</v>
      </c>
      <c r="R81" s="9">
        <f t="shared" si="27"/>
        <v>0</v>
      </c>
      <c r="S81" s="9">
        <f t="shared" si="28"/>
        <v>0</v>
      </c>
      <c r="T81" s="9">
        <f t="shared" si="29"/>
        <v>0</v>
      </c>
    </row>
    <row r="82" spans="1:20" x14ac:dyDescent="0.25">
      <c r="A82">
        <v>1</v>
      </c>
      <c r="B82" s="23">
        <v>46201</v>
      </c>
      <c r="C82" s="24">
        <v>6.25E-2</v>
      </c>
      <c r="D82" s="25" t="s">
        <v>73</v>
      </c>
      <c r="E82" s="25" t="s">
        <v>11</v>
      </c>
      <c r="F82" s="18"/>
      <c r="H82" s="9">
        <v>3</v>
      </c>
      <c r="I82" s="9">
        <v>3</v>
      </c>
      <c r="J82" s="9">
        <v>3</v>
      </c>
      <c r="K82" s="9">
        <v>3</v>
      </c>
      <c r="L82" s="9">
        <v>3</v>
      </c>
      <c r="M82" s="9">
        <v>3</v>
      </c>
      <c r="O82" s="9">
        <f t="shared" si="24"/>
        <v>0</v>
      </c>
      <c r="P82" s="9">
        <f t="shared" si="25"/>
        <v>0</v>
      </c>
      <c r="Q82" s="9">
        <f t="shared" si="26"/>
        <v>0</v>
      </c>
      <c r="R82" s="9">
        <f t="shared" si="27"/>
        <v>0</v>
      </c>
      <c r="S82" s="9">
        <f t="shared" si="28"/>
        <v>0</v>
      </c>
      <c r="T82" s="9">
        <f t="shared" si="29"/>
        <v>0</v>
      </c>
    </row>
    <row r="83" spans="1:20" x14ac:dyDescent="0.25">
      <c r="A83">
        <v>1</v>
      </c>
      <c r="B83" s="23">
        <v>46201</v>
      </c>
      <c r="C83" s="24">
        <v>6.25E-2</v>
      </c>
      <c r="D83" s="25" t="s">
        <v>69</v>
      </c>
      <c r="E83" s="25" t="s">
        <v>72</v>
      </c>
      <c r="F83" s="18"/>
      <c r="H83" s="9">
        <v>2</v>
      </c>
      <c r="I83" s="9">
        <v>2</v>
      </c>
      <c r="J83" s="9">
        <v>1</v>
      </c>
      <c r="K83" s="9">
        <v>3</v>
      </c>
      <c r="L83" s="9">
        <v>1</v>
      </c>
      <c r="M83" s="9">
        <v>1</v>
      </c>
      <c r="O83" s="9">
        <f t="shared" si="24"/>
        <v>0</v>
      </c>
      <c r="P83" s="9">
        <f t="shared" si="25"/>
        <v>0</v>
      </c>
      <c r="Q83" s="9">
        <f t="shared" si="26"/>
        <v>0</v>
      </c>
      <c r="R83" s="9">
        <f t="shared" si="27"/>
        <v>0</v>
      </c>
      <c r="S83" s="9">
        <f t="shared" si="28"/>
        <v>0</v>
      </c>
      <c r="T83" s="9">
        <f t="shared" si="29"/>
        <v>0</v>
      </c>
    </row>
    <row r="84" spans="1:20" x14ac:dyDescent="0.25">
      <c r="A84">
        <v>1</v>
      </c>
      <c r="B84" s="23">
        <v>46201</v>
      </c>
      <c r="C84" s="24">
        <v>0.16666666666666666</v>
      </c>
      <c r="D84" s="25" t="s">
        <v>68</v>
      </c>
      <c r="E84" s="25" t="s">
        <v>66</v>
      </c>
      <c r="F84" s="18"/>
      <c r="H84" s="9">
        <v>3</v>
      </c>
      <c r="I84" s="9">
        <v>3</v>
      </c>
      <c r="J84" s="9">
        <v>3</v>
      </c>
      <c r="K84" s="9">
        <v>3</v>
      </c>
      <c r="L84" s="9">
        <v>3</v>
      </c>
      <c r="M84" s="9">
        <v>3</v>
      </c>
      <c r="O84" s="9">
        <f t="shared" si="24"/>
        <v>0</v>
      </c>
      <c r="P84" s="9">
        <f t="shared" si="25"/>
        <v>0</v>
      </c>
      <c r="Q84" s="9">
        <f t="shared" si="26"/>
        <v>0</v>
      </c>
      <c r="R84" s="9">
        <f t="shared" si="27"/>
        <v>0</v>
      </c>
      <c r="S84" s="9">
        <f t="shared" si="28"/>
        <v>0</v>
      </c>
      <c r="T84" s="9">
        <f t="shared" si="29"/>
        <v>0</v>
      </c>
    </row>
    <row r="85" spans="1:20" ht="15.75" thickBot="1" x14ac:dyDescent="0.3">
      <c r="A85">
        <v>1</v>
      </c>
      <c r="B85" s="23">
        <v>46201</v>
      </c>
      <c r="C85" s="24">
        <v>0.16666666666666666</v>
      </c>
      <c r="D85" s="25" t="s">
        <v>67</v>
      </c>
      <c r="E85" s="25" t="s">
        <v>5</v>
      </c>
      <c r="F85" s="19"/>
      <c r="H85" s="10">
        <v>2</v>
      </c>
      <c r="I85" s="10">
        <v>2</v>
      </c>
      <c r="J85" s="10">
        <v>3</v>
      </c>
      <c r="K85" s="10">
        <v>1</v>
      </c>
      <c r="L85" s="10">
        <v>3</v>
      </c>
      <c r="M85" s="10">
        <v>3</v>
      </c>
      <c r="O85" s="10">
        <f t="shared" si="24"/>
        <v>0</v>
      </c>
      <c r="P85" s="10">
        <f t="shared" si="25"/>
        <v>0</v>
      </c>
      <c r="Q85" s="10">
        <f t="shared" si="26"/>
        <v>0</v>
      </c>
      <c r="R85" s="10">
        <f t="shared" si="27"/>
        <v>0</v>
      </c>
      <c r="S85" s="10">
        <f t="shared" si="28"/>
        <v>0</v>
      </c>
      <c r="T85" s="10">
        <f t="shared" si="29"/>
        <v>0</v>
      </c>
    </row>
  </sheetData>
  <mergeCells count="2">
    <mergeCell ref="H1:M1"/>
    <mergeCell ref="O1:T1"/>
  </mergeCells>
  <dataValidations count="7">
    <dataValidation type="list" allowBlank="1" showInputMessage="1" showErrorMessage="1" sqref="H14:M49" xr:uid="{741D8952-67DE-4AFD-BFBE-172474A46714}">
      <formula1>$AH$2:$AH$4</formula1>
    </dataValidation>
    <dataValidation type="whole" allowBlank="1" showInputMessage="1" showErrorMessage="1" sqref="H12:M12 F12" xr:uid="{93365157-D238-44FC-A277-E9D7980BF2CC}">
      <formula1>1</formula1>
      <formula2>95</formula2>
    </dataValidation>
    <dataValidation type="list" allowBlank="1" showInputMessage="1" showErrorMessage="1" sqref="F7 H7:M7" xr:uid="{7580B404-14F6-4F1F-9720-93829B8691D9}">
      <formula1>$AI$2:$AI$8</formula1>
    </dataValidation>
    <dataValidation type="list" allowBlank="1" showInputMessage="1" showErrorMessage="1" sqref="F9 H9:M9" xr:uid="{FFE0E6BD-B525-4E87-B0D3-155ED4B9C6A3}">
      <formula1>$AK$2:$AK$8</formula1>
    </dataValidation>
    <dataValidation type="list" allowBlank="1" showInputMessage="1" showErrorMessage="1" sqref="H10:M10 F10" xr:uid="{DF008D28-D900-4235-98B6-DB790D80976B}">
      <formula1>$AL$2:$AL$9</formula1>
    </dataValidation>
    <dataValidation type="list" allowBlank="1" showInputMessage="1" showErrorMessage="1" sqref="F8 H8:M8" xr:uid="{C29D36E3-2B0F-489A-AEA8-1873760570AD}">
      <formula1>$AJ$2:$AJ$8</formula1>
    </dataValidation>
    <dataValidation type="list" allowBlank="1" showInputMessage="1" showErrorMessage="1" sqref="H11:M11 F11" xr:uid="{70908E6C-B93B-4A4F-BDD8-CB3CC1D267EB}">
      <formula1>$AM$2:$AM$17</formula1>
    </dataValidation>
  </dataValidations>
  <pageMargins left="0.7" right="0.7" top="0.75" bottom="0.75" header="0.3" footer="0.3"/>
  <pageSetup paperSize="9" orientation="portrait" r:id="rId1"/>
  <ignoredErrors>
    <ignoredError sqref="T46 T70 T23 O23:R23 O70:R70 O46:R4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Algemeen en Poulefase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J.A. van Uchelen</dc:creator>
  <cp:lastModifiedBy>Sander van Uchelen</cp:lastModifiedBy>
  <dcterms:created xsi:type="dcterms:W3CDTF">2021-06-08T19:49:07Z</dcterms:created>
  <dcterms:modified xsi:type="dcterms:W3CDTF">2026-06-17T07:26:59Z</dcterms:modified>
</cp:coreProperties>
</file>